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kimovf\Desktop\"/>
    </mc:Choice>
  </mc:AlternateContent>
  <xr:revisionPtr revIDLastSave="0" documentId="8_{AE05ADED-FF75-4C47-A7F1-02C67BD14B0B}" xr6:coauthVersionLast="47" xr6:coauthVersionMax="47" xr10:uidLastSave="{00000000-0000-0000-0000-000000000000}"/>
  <bookViews>
    <workbookView xWindow="-120" yWindow="-120" windowWidth="29040" windowHeight="15840" xr2:uid="{AD0AE112-1053-41DA-9EFE-A284F0782FA2}"/>
  </bookViews>
  <sheets>
    <sheet name="H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D20" i="1"/>
  <c r="D18" i="1"/>
  <c r="D17" i="1"/>
  <c r="D16" i="1"/>
  <c r="D15" i="1"/>
  <c r="D14" i="1"/>
  <c r="AH13" i="1"/>
  <c r="AF13" i="1"/>
  <c r="AD13" i="1"/>
  <c r="AB13" i="1"/>
  <c r="Z13" i="1"/>
  <c r="X13" i="1"/>
  <c r="V13" i="1"/>
  <c r="T13" i="1"/>
  <c r="R13" i="1"/>
  <c r="K13" i="1"/>
  <c r="D24" i="1" s="1"/>
  <c r="J13" i="1"/>
  <c r="D23" i="1" s="1"/>
  <c r="I12" i="1"/>
  <c r="I11" i="1"/>
  <c r="I10" i="1"/>
  <c r="I9" i="1"/>
  <c r="I8" i="1"/>
  <c r="I7" i="1"/>
  <c r="I6" i="1"/>
  <c r="I5" i="1"/>
  <c r="A5" i="1"/>
  <c r="A6" i="1" s="1"/>
  <c r="A7" i="1" s="1"/>
  <c r="A8" i="1" s="1"/>
  <c r="A9" i="1" s="1"/>
  <c r="A10" i="1" s="1"/>
  <c r="A11" i="1" s="1"/>
  <c r="A12" i="1" s="1"/>
  <c r="I4" i="1"/>
</calcChain>
</file>

<file path=xl/sharedStrings.xml><?xml version="1.0" encoding="utf-8"?>
<sst xmlns="http://schemas.openxmlformats.org/spreadsheetml/2006/main" count="155" uniqueCount="102">
  <si>
    <t>№</t>
  </si>
  <si>
    <t>Xodimlar bilan ishlash boʻlimi</t>
  </si>
  <si>
    <t>statistik toifa</t>
  </si>
  <si>
    <t>jinsi</t>
  </si>
  <si>
    <t>tabel raqami</t>
  </si>
  <si>
    <t>tugʻilgan sana</t>
  </si>
  <si>
    <t>ishga kirgan sana</t>
  </si>
  <si>
    <t>staj</t>
  </si>
  <si>
    <t>maʼlumot</t>
  </si>
  <si>
    <t>oʻquv muassasi</t>
  </si>
  <si>
    <t>yoʻnalish</t>
  </si>
  <si>
    <t>xarbiy guvoxnoma</t>
  </si>
  <si>
    <t>m/t</t>
  </si>
  <si>
    <t>b/s</t>
  </si>
  <si>
    <t>b/l</t>
  </si>
  <si>
    <t>admin</t>
  </si>
  <si>
    <t>oʻqish</t>
  </si>
  <si>
    <t>armiya</t>
  </si>
  <si>
    <t>otgul</t>
  </si>
  <si>
    <t>progul</t>
  </si>
  <si>
    <t>ruxsatnoma</t>
  </si>
  <si>
    <t>intizomiy chora</t>
  </si>
  <si>
    <t>ragʻbatlantirish</t>
  </si>
  <si>
    <t>sertifikatlar(malaka oshirish)</t>
  </si>
  <si>
    <t>guvoxnoma</t>
  </si>
  <si>
    <t>haydovchilik guvohnoma</t>
  </si>
  <si>
    <t>Adres</t>
  </si>
  <si>
    <t>FIO</t>
  </si>
  <si>
    <t>Lavozim</t>
  </si>
  <si>
    <t>oʻrta maxsus</t>
  </si>
  <si>
    <t>oliy</t>
  </si>
  <si>
    <t>davr</t>
  </si>
  <si>
    <t>kun</t>
  </si>
  <si>
    <t>buyruk rakami</t>
  </si>
  <si>
    <t>izox</t>
  </si>
  <si>
    <t>BUyruk rakami</t>
  </si>
  <si>
    <t>mavzu</t>
  </si>
  <si>
    <t>berilgan sana amal qilish muddati</t>
  </si>
  <si>
    <t>kasb</t>
  </si>
  <si>
    <t>berigan sana amal qilish muddati</t>
  </si>
  <si>
    <t>A,B,C,D,E</t>
  </si>
  <si>
    <t>Yashash manzili(Tuman, Shahar, MFY)</t>
  </si>
  <si>
    <t>MADRAXIMOVA NASIBAXON SAIBJANOVNA</t>
  </si>
  <si>
    <t xml:space="preserve">Boʻlim boshligʻi </t>
  </si>
  <si>
    <t>B</t>
  </si>
  <si>
    <t>ayol</t>
  </si>
  <si>
    <t>0516</t>
  </si>
  <si>
    <t xml:space="preserve">"1. Xodimlarni xujjatlarini yuritish
2.«Xodimlar bilan ishlash va xavfsizlikni 
taʼminlashning huquqiy asosi
3. Mexnat muxofazasi
4.KPI orqali biznes jarayonlarni boshqarish
5.Oʻzbekiston avtomobil sanoati korxonalarida 
kadrlar tizimini takomillashtirish va 
korporativ madaniyatni rivojlantirish.(seminar) </t>
  </si>
  <si>
    <t>1. Berilgan sana - 06.06.2023
2.Berilgan sana - 19.06.2023
3.Berilgan sana - 14.08.2025
4. 2026-2027
5.2025y</t>
  </si>
  <si>
    <t>Oltinko'l tuman Dalvarzin MFY
Shukurona ko'cha 101</t>
  </si>
  <si>
    <t>SAIDOV ABDURAXIM ABDURASHIDOVICH</t>
  </si>
  <si>
    <t>Boʻlim boshligʻi oʻrinbosari (MTE va IH)</t>
  </si>
  <si>
    <t>erkak</t>
  </si>
  <si>
    <t>2002</t>
  </si>
  <si>
    <t>RUZIAXUNOV AKMAL SHAVKATOVICH</t>
  </si>
  <si>
    <t>Bosh direktorning yoshlar boʻyicha maslahatchisi</t>
  </si>
  <si>
    <t>M</t>
  </si>
  <si>
    <t>0026</t>
  </si>
  <si>
    <t>BOBAJONOV MUXTARJON MUMINJONOVICH</t>
  </si>
  <si>
    <t>Mutaxassis (kadrlar boʻyicha)</t>
  </si>
  <si>
    <t>0511</t>
  </si>
  <si>
    <t>AXMADJONOVA NARGIZ TADJIDINOVNA</t>
  </si>
  <si>
    <t>0315</t>
  </si>
  <si>
    <t>Andijon shahar Sog'lom avlod MFY
2-49 7</t>
  </si>
  <si>
    <t>TOJIDINOV YODGORBEK DILMURODJON OʻGʻLI</t>
  </si>
  <si>
    <t>Inspektor (Harbiy bron)</t>
  </si>
  <si>
    <t>2203</t>
  </si>
  <si>
    <t>And.aloqa kollej</t>
  </si>
  <si>
    <t>Xalqaro aloqa</t>
  </si>
  <si>
    <t>бор</t>
  </si>
  <si>
    <t>Andijon shahar Boston MFY 
Abdullanabiyev 19</t>
  </si>
  <si>
    <t>ESANOV MUXAMMADDIYOR XASAN OʻGʻLI</t>
  </si>
  <si>
    <t>Mutaxassis (tabel hisobi)</t>
  </si>
  <si>
    <t>1972</t>
  </si>
  <si>
    <t>U.B.S</t>
  </si>
  <si>
    <t xml:space="preserve">Iqtisodiyot ( tarmoqlari va soxalari bo'yicha </t>
  </si>
  <si>
    <t>Bor</t>
  </si>
  <si>
    <t>YAXSHIBOYEV DOSTONBEK TURDALI OʻGʻLI</t>
  </si>
  <si>
    <t>Mutaxassis (YAMMT va TRAINING)</t>
  </si>
  <si>
    <t>0796</t>
  </si>
  <si>
    <t xml:space="preserve">AQXI qoshidagi 
akademik litsey </t>
  </si>
  <si>
    <t>Andijon 
mashinasozlik 
institu</t>
  </si>
  <si>
    <t xml:space="preserve">Aniq fanlar </t>
  </si>
  <si>
    <t>T.M.J</t>
  </si>
  <si>
    <t>01.03.2026
17.03.2026</t>
  </si>
  <si>
    <t>05.08.2026
08.08.2026</t>
  </si>
  <si>
    <t xml:space="preserve">Avtoelektro
yuklagich 
haydonchisi </t>
  </si>
  <si>
    <t>B/C</t>
  </si>
  <si>
    <t>Izboskan tuman Obod MFY
Turon ko'cha 37</t>
  </si>
  <si>
    <t>QURBONOV QUDRATBEK KOZIMJON O'G'LI</t>
  </si>
  <si>
    <t>Mutaxassis (HR ANALITIK)</t>
  </si>
  <si>
    <t>1140</t>
  </si>
  <si>
    <t>AIPK</t>
  </si>
  <si>
    <t>KUAF</t>
  </si>
  <si>
    <t>Aftamabillarni
yig'ish va sinash</t>
  </si>
  <si>
    <t>Iqtisodiyot
 (tarmoqlari va soxalari bo'yicha)</t>
  </si>
  <si>
    <t>1.Course Certificate
Introduction to Generation AI
2.AI Fundamentals for Public Servants: Opportunities, Risks and Strategies</t>
  </si>
  <si>
    <t>06.29.2026
02.07.2026</t>
  </si>
  <si>
    <t>Andijon shahar Guluston MFY 
U Qurbonov 49</t>
  </si>
  <si>
    <t>T</t>
  </si>
  <si>
    <t>X</t>
  </si>
  <si>
    <t>I/ch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</si>
</sst>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charset val="129"/>
      <scheme val="minor"/>
    </font>
    <font>
      <b/>
      <sz val="10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8"/>
      <color theme="1"/>
      <name val="Aptos Narrow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05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49" fontId="5" fillId="3" borderId="25" xfId="1" applyNumberFormat="1" applyFont="1" applyFill="1" applyBorder="1" applyAlignment="1" applyProtection="1">
      <alignment horizontal="center" vertical="center"/>
      <protection locked="0"/>
    </xf>
    <xf numFmtId="14" fontId="0" fillId="0" borderId="24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6" fillId="0" borderId="28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49" fontId="5" fillId="3" borderId="35" xfId="1" applyNumberFormat="1" applyFont="1" applyFill="1" applyBorder="1" applyAlignment="1" applyProtection="1">
      <alignment horizontal="center" vertical="center"/>
      <protection locked="0"/>
    </xf>
    <xf numFmtId="14" fontId="0" fillId="0" borderId="34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horizontal="center" vertical="center" wrapText="1"/>
    </xf>
    <xf numFmtId="49" fontId="0" fillId="0" borderId="32" xfId="0" applyNumberFormat="1" applyBorder="1" applyAlignment="1">
      <alignment horizontal="center" vertical="center" wrapText="1"/>
    </xf>
    <xf numFmtId="0" fontId="0" fillId="0" borderId="32" xfId="0" applyBorder="1">
      <alignment vertical="center"/>
    </xf>
    <xf numFmtId="0" fontId="2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49" fontId="5" fillId="3" borderId="40" xfId="1" applyNumberFormat="1" applyFont="1" applyFill="1" applyBorder="1" applyAlignment="1" applyProtection="1">
      <alignment horizontal="center" vertical="center"/>
      <protection locked="0"/>
    </xf>
    <xf numFmtId="14" fontId="0" fillId="0" borderId="14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49" fontId="5" fillId="3" borderId="44" xfId="1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center"/>
    </xf>
    <xf numFmtId="0" fontId="0" fillId="0" borderId="38" xfId="0" applyBorder="1">
      <alignment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32" xfId="0" applyFill="1" applyBorder="1">
      <alignment vertical="center"/>
    </xf>
    <xf numFmtId="0" fontId="0" fillId="4" borderId="45" xfId="0" applyFill="1" applyBorder="1">
      <alignment vertical="center"/>
    </xf>
    <xf numFmtId="0" fontId="0" fillId="4" borderId="18" xfId="0" applyFill="1" applyBorder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 wrapText="1"/>
    </xf>
  </cellXfs>
  <cellStyles count="2">
    <cellStyle name="Обычный" xfId="0" builtinId="0"/>
    <cellStyle name="Обычный 2" xfId="1" xr:uid="{66939BF8-89F0-425A-B6C8-5721BF4E96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statistik toifa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75-4E84-9702-014DCAF76D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75-4E84-9702-014DCAF76D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75-4E84-9702-014DCAF76D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75-4E84-9702-014DCAF76D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75-4E84-9702-014DCAF76D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HR!$C$14:$C$18</c:f>
              <c:strCache>
                <c:ptCount val="5"/>
                <c:pt idx="0">
                  <c:v>B</c:v>
                </c:pt>
                <c:pt idx="1">
                  <c:v>M</c:v>
                </c:pt>
                <c:pt idx="2">
                  <c:v>T</c:v>
                </c:pt>
                <c:pt idx="3">
                  <c:v>X</c:v>
                </c:pt>
                <c:pt idx="4">
                  <c:v>I/ch</c:v>
                </c:pt>
              </c:strCache>
            </c:strRef>
          </c:cat>
          <c:val>
            <c:numRef>
              <c:f>HR!$D$14:$D$18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75-4E84-9702-014DCAF76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2E-49FF-88DE-8A9F9BB87B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2E-49FF-88DE-8A9F9BB87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HR!$C$20:$C$21</c:f>
              <c:strCache>
                <c:ptCount val="2"/>
                <c:pt idx="0">
                  <c:v>ayol</c:v>
                </c:pt>
                <c:pt idx="1">
                  <c:v>erkak</c:v>
                </c:pt>
              </c:strCache>
            </c:strRef>
          </c:cat>
          <c:val>
            <c:numRef>
              <c:f>HR!$D$20:$D$21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2E-49FF-88DE-8A9F9BB87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F8-4FB1-83A7-B4C53C9A07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F8-4FB1-83A7-B4C53C9A07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HR!$C$23:$C$24</c:f>
              <c:strCache>
                <c:ptCount val="2"/>
                <c:pt idx="0">
                  <c:v>oʻrta maxsus</c:v>
                </c:pt>
                <c:pt idx="1">
                  <c:v>oliy</c:v>
                </c:pt>
              </c:strCache>
            </c:strRef>
          </c:cat>
          <c:val>
            <c:numRef>
              <c:f>HR!$D$23:$D$24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F8-4FB1-83A7-B4C53C9A0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13</xdr:row>
      <xdr:rowOff>11430</xdr:rowOff>
    </xdr:from>
    <xdr:to>
      <xdr:col>8</xdr:col>
      <xdr:colOff>274320</xdr:colOff>
      <xdr:row>24</xdr:row>
      <xdr:rowOff>129540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F7507E-AA8D-421F-B899-9971CE80E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262890</xdr:colOff>
      <xdr:row>25</xdr:row>
      <xdr:rowOff>64770</xdr:rowOff>
    </xdr:from>
    <xdr:to>
      <xdr:col>8</xdr:col>
      <xdr:colOff>335280</xdr:colOff>
      <xdr:row>34</xdr:row>
      <xdr:rowOff>129540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FD04F28-3457-49D2-9852-ABD79C612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209550</xdr:colOff>
      <xdr:row>35</xdr:row>
      <xdr:rowOff>140970</xdr:rowOff>
    </xdr:from>
    <xdr:to>
      <xdr:col>8</xdr:col>
      <xdr:colOff>510540</xdr:colOff>
      <xdr:row>50</xdr:row>
      <xdr:rowOff>140970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CE8086C-2D57-437E-BF81-7C442435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hakimovf\Downloads\Telegram%20Desktop\&#1089;&#1074;&#1086;&#1076;%20&#1082;&#1072;&#1076;&#1088;%20(2).xlsx" TargetMode="External"/><Relationship Id="rId1" Type="http://schemas.openxmlformats.org/officeDocument/2006/relationships/externalLinkPath" Target="/Users/Khakimovf/Downloads/Telegram%20Desktop/&#1089;&#1074;&#1086;&#1076;%20&#1082;&#1072;&#1076;&#1088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R"/>
      <sheetName val="Direksiya"/>
      <sheetName val="Mamuriy hojalik"/>
      <sheetName val="Yuridik bolim"/>
      <sheetName val="Sifat Menejment tizimi bolinmas"/>
      <sheetName val="Yangi loyiha &amp; mahaliylashtiris"/>
      <sheetName val="Sifat nazorati boshqarmasi"/>
      <sheetName val="Sinov labaratoriyasi"/>
      <sheetName val="Marketing &amp; eksport bolimi"/>
      <sheetName val="Chiqindilarni sotish uchastkasi"/>
      <sheetName val="Reja-Iqtisod bo'limi"/>
      <sheetName val="Tarjimonlar bolimi"/>
      <sheetName val="Logistika bo'linmasi"/>
      <sheetName val="Xafsizlik va qoriqlash"/>
      <sheetName val="Haridlar"/>
      <sheetName val="Materialarni kuzatish"/>
      <sheetName val="WareHous (irmash)"/>
      <sheetName val="WareHous (SH.S.H)"/>
      <sheetName val="FuqoroM &amp; Yongin Havfsizligi"/>
      <sheetName val="Buxgalteriya hisobi bolimi"/>
      <sheetName val="Sifat nazorati (UzAutoMotors)"/>
      <sheetName val="Sifat nazorati (SH.S.H)"/>
      <sheetName val="Yetkazib berish boshqarmasi"/>
      <sheetName val="Taminot bo'linmasi"/>
      <sheetName val="Tayor maxsulotlar (UzAuto)"/>
      <sheetName val="KD Daval hisobini yurutish"/>
      <sheetName val="Arava taminlash uchaskasi"/>
      <sheetName val="Transport bo'linmasi"/>
      <sheetName val="Ishlab chiqarish texnologiyasi"/>
      <sheetName val="Mehnat muhofazasi boshqarmasi"/>
      <sheetName val="Energomexanika boshqarmasi"/>
      <sheetName val="Energomexanika B (SH.S.H)"/>
      <sheetName val="I-CH boshqarmasi"/>
      <sheetName val="I-CH rejalashtirish"/>
      <sheetName val="Yig'uv sexi"/>
      <sheetName val="Onix&amp;Trecker DOOR TRIM"/>
      <sheetName val="GSVEM DOOR TRIM"/>
      <sheetName val="I-P lINE ALL MODEL"/>
      <sheetName val="I-CH LASER SCORING"/>
      <sheetName val="ONIX&amp;TRACKER CONSOLE"/>
      <sheetName val="I-CH LAMINATION"/>
      <sheetName val="I-CH SUB LINE ALL MODELS"/>
      <sheetName val="I-CH 2 BICHUV &amp; TIKUV"/>
      <sheetName val="BYD yig'uv linyasi"/>
      <sheetName val="TPA"/>
      <sheetName val="Qolib taminlash uchastkasi"/>
      <sheetName val="Bo'yoqlash sexi"/>
      <sheetName val="2lamchi hom ashyo qayta ishlash"/>
      <sheetName val="SH.S.H"/>
      <sheetName val="Mamuriyat bo'linmasi (SH.S.H)"/>
      <sheetName val="Chiqindilarni sotish (SH.S.H)"/>
      <sheetName val="Yetkazib berish(SH.S.H)"/>
      <sheetName val="Taminot brigadasi (SH.S.H)"/>
      <sheetName val="Karpet sexi (SH.S.H)"/>
      <sheetName val="Yig'uv sexi (SH.S.H)"/>
      <sheetName val="Yig'uv sexi 2 (SH.SH)"/>
      <sheetName val="Preslash sexi (SH.S.H)"/>
      <sheetName val="Bola parvarish AYOLAR "/>
      <sheetName val="Kasanachilar"/>
    </sheetNames>
    <sheetDataSet>
      <sheetData sheetId="0">
        <row r="14">
          <cell r="C14" t="str">
            <v>B</v>
          </cell>
          <cell r="D14">
            <v>0</v>
          </cell>
        </row>
        <row r="15">
          <cell r="C15" t="str">
            <v>M</v>
          </cell>
          <cell r="D15">
            <v>0</v>
          </cell>
        </row>
        <row r="16">
          <cell r="C16" t="str">
            <v>T</v>
          </cell>
          <cell r="D16">
            <v>0</v>
          </cell>
        </row>
        <row r="17">
          <cell r="C17" t="str">
            <v>X</v>
          </cell>
          <cell r="D17">
            <v>0</v>
          </cell>
        </row>
        <row r="18">
          <cell r="C18" t="str">
            <v>I/ch</v>
          </cell>
          <cell r="D18">
            <v>0</v>
          </cell>
        </row>
        <row r="20">
          <cell r="C20" t="str">
            <v>ayol</v>
          </cell>
          <cell r="D20">
            <v>0</v>
          </cell>
        </row>
        <row r="21">
          <cell r="C21" t="str">
            <v>erkak</v>
          </cell>
          <cell r="D21">
            <v>0</v>
          </cell>
        </row>
        <row r="23">
          <cell r="C23" t="str">
            <v>oʻrta maxsus</v>
          </cell>
          <cell r="D23">
            <v>0</v>
          </cell>
        </row>
        <row r="24">
          <cell r="C24" t="str">
            <v>oliy</v>
          </cell>
          <cell r="D2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787F-6988-4ED5-BED5-40F55A1CD606}">
  <dimension ref="A1:AR28"/>
  <sheetViews>
    <sheetView tabSelected="1" zoomScale="70" zoomScaleNormal="70" workbookViewId="0">
      <selection activeCell="F10" sqref="F10"/>
    </sheetView>
  </sheetViews>
  <sheetFormatPr defaultRowHeight="15" x14ac:dyDescent="0.25"/>
  <cols>
    <col min="2" max="2" width="30.625" style="1" customWidth="1"/>
    <col min="3" max="3" width="36.625" bestFit="1" customWidth="1"/>
    <col min="7" max="7" width="15.875" customWidth="1"/>
    <col min="8" max="8" width="12.375" style="2" customWidth="1"/>
    <col min="9" max="9" width="10.5" customWidth="1"/>
    <col min="10" max="16" width="15.875" customWidth="1"/>
    <col min="17" max="17" width="8.625" bestFit="1" customWidth="1"/>
    <col min="21" max="21" width="8.625" bestFit="1" customWidth="1"/>
    <col min="29" max="29" width="8.875" bestFit="1" customWidth="1"/>
    <col min="39" max="39" width="18.5" customWidth="1"/>
    <col min="40" max="40" width="14.125" customWidth="1"/>
    <col min="41" max="41" width="10" customWidth="1"/>
    <col min="42" max="42" width="8.625" bestFit="1" customWidth="1"/>
    <col min="43" max="43" width="10.25" customWidth="1"/>
    <col min="44" max="44" width="26.75" bestFit="1" customWidth="1"/>
  </cols>
  <sheetData>
    <row r="1" spans="1:44" ht="15.75" thickBot="1" x14ac:dyDescent="0.3"/>
    <row r="2" spans="1:44" s="17" customFormat="1" ht="28.7" customHeight="1" thickBot="1" x14ac:dyDescent="0.3">
      <c r="A2" s="3" t="s">
        <v>0</v>
      </c>
      <c r="B2" s="4" t="s">
        <v>1</v>
      </c>
      <c r="C2" s="5"/>
      <c r="D2" s="6" t="s">
        <v>2</v>
      </c>
      <c r="E2" s="3" t="s">
        <v>3</v>
      </c>
      <c r="F2" s="3" t="s">
        <v>4</v>
      </c>
      <c r="G2" s="3" t="s">
        <v>5</v>
      </c>
      <c r="H2" s="7" t="s">
        <v>6</v>
      </c>
      <c r="I2" s="8" t="s">
        <v>7</v>
      </c>
      <c r="J2" s="9" t="s">
        <v>8</v>
      </c>
      <c r="K2" s="10"/>
      <c r="L2" s="9" t="s">
        <v>9</v>
      </c>
      <c r="M2" s="10"/>
      <c r="N2" s="11" t="s">
        <v>10</v>
      </c>
      <c r="O2" s="12"/>
      <c r="P2" s="13" t="s">
        <v>11</v>
      </c>
      <c r="Q2" s="11" t="s">
        <v>12</v>
      </c>
      <c r="R2" s="12"/>
      <c r="S2" s="11" t="s">
        <v>13</v>
      </c>
      <c r="T2" s="14"/>
      <c r="U2" s="11" t="s">
        <v>14</v>
      </c>
      <c r="V2" s="12"/>
      <c r="W2" s="15" t="s">
        <v>15</v>
      </c>
      <c r="X2" s="14"/>
      <c r="Y2" s="11" t="s">
        <v>16</v>
      </c>
      <c r="Z2" s="12"/>
      <c r="AA2" s="15" t="s">
        <v>17</v>
      </c>
      <c r="AB2" s="14"/>
      <c r="AC2" s="11" t="s">
        <v>18</v>
      </c>
      <c r="AD2" s="12"/>
      <c r="AE2" s="15" t="s">
        <v>19</v>
      </c>
      <c r="AF2" s="14"/>
      <c r="AG2" s="11" t="s">
        <v>20</v>
      </c>
      <c r="AH2" s="12"/>
      <c r="AI2" s="15" t="s">
        <v>21</v>
      </c>
      <c r="AJ2" s="14"/>
      <c r="AK2" s="11" t="s">
        <v>22</v>
      </c>
      <c r="AL2" s="12"/>
      <c r="AM2" s="15" t="s">
        <v>23</v>
      </c>
      <c r="AN2" s="12"/>
      <c r="AO2" s="15" t="s">
        <v>24</v>
      </c>
      <c r="AP2" s="12"/>
      <c r="AQ2" s="16" t="s">
        <v>25</v>
      </c>
      <c r="AR2" s="13" t="s">
        <v>26</v>
      </c>
    </row>
    <row r="3" spans="1:44" s="33" customFormat="1" ht="75.75" thickBot="1" x14ac:dyDescent="0.3">
      <c r="A3" s="18"/>
      <c r="B3" s="19" t="s">
        <v>27</v>
      </c>
      <c r="C3" s="20" t="s">
        <v>28</v>
      </c>
      <c r="D3" s="21"/>
      <c r="E3" s="18"/>
      <c r="F3" s="18"/>
      <c r="G3" s="18"/>
      <c r="H3" s="22"/>
      <c r="I3" s="23"/>
      <c r="J3" s="24" t="s">
        <v>29</v>
      </c>
      <c r="K3" s="25" t="s">
        <v>30</v>
      </c>
      <c r="L3" s="24" t="s">
        <v>29</v>
      </c>
      <c r="M3" s="25" t="s">
        <v>30</v>
      </c>
      <c r="N3" s="24" t="s">
        <v>29</v>
      </c>
      <c r="O3" s="25" t="s">
        <v>30</v>
      </c>
      <c r="P3" s="26"/>
      <c r="Q3" s="24" t="s">
        <v>31</v>
      </c>
      <c r="R3" s="25" t="s">
        <v>32</v>
      </c>
      <c r="S3" s="24" t="s">
        <v>31</v>
      </c>
      <c r="T3" s="27" t="s">
        <v>32</v>
      </c>
      <c r="U3" s="24" t="s">
        <v>31</v>
      </c>
      <c r="V3" s="25" t="s">
        <v>32</v>
      </c>
      <c r="W3" s="28" t="s">
        <v>31</v>
      </c>
      <c r="X3" s="27" t="s">
        <v>32</v>
      </c>
      <c r="Y3" s="24" t="s">
        <v>31</v>
      </c>
      <c r="Z3" s="25" t="s">
        <v>32</v>
      </c>
      <c r="AA3" s="28" t="s">
        <v>31</v>
      </c>
      <c r="AB3" s="27" t="s">
        <v>32</v>
      </c>
      <c r="AC3" s="24" t="s">
        <v>31</v>
      </c>
      <c r="AD3" s="25" t="s">
        <v>32</v>
      </c>
      <c r="AE3" s="28" t="s">
        <v>31</v>
      </c>
      <c r="AF3" s="27" t="s">
        <v>32</v>
      </c>
      <c r="AG3" s="24" t="s">
        <v>31</v>
      </c>
      <c r="AH3" s="25" t="s">
        <v>32</v>
      </c>
      <c r="AI3" s="28" t="s">
        <v>33</v>
      </c>
      <c r="AJ3" s="27" t="s">
        <v>34</v>
      </c>
      <c r="AK3" s="24" t="s">
        <v>35</v>
      </c>
      <c r="AL3" s="25" t="s">
        <v>34</v>
      </c>
      <c r="AM3" s="29" t="s">
        <v>36</v>
      </c>
      <c r="AN3" s="30" t="s">
        <v>37</v>
      </c>
      <c r="AO3" s="29" t="s">
        <v>38</v>
      </c>
      <c r="AP3" s="30" t="s">
        <v>39</v>
      </c>
      <c r="AQ3" s="31" t="s">
        <v>40</v>
      </c>
      <c r="AR3" s="32" t="s">
        <v>41</v>
      </c>
    </row>
    <row r="4" spans="1:44" s="54" customFormat="1" ht="227.1" customHeight="1" x14ac:dyDescent="0.25">
      <c r="A4" s="34">
        <v>1</v>
      </c>
      <c r="B4" s="35" t="s">
        <v>42</v>
      </c>
      <c r="C4" s="36" t="s">
        <v>43</v>
      </c>
      <c r="D4" s="34" t="s">
        <v>44</v>
      </c>
      <c r="E4" s="34" t="s">
        <v>45</v>
      </c>
      <c r="F4" s="37" t="s">
        <v>46</v>
      </c>
      <c r="G4" s="38">
        <v>31870</v>
      </c>
      <c r="H4" s="38">
        <v>39686</v>
      </c>
      <c r="I4" s="39">
        <f t="shared" ref="I4:I12" ca="1" si="0">DATEDIF(H4,TODAY(),"Y")</f>
        <v>17</v>
      </c>
      <c r="J4" s="40"/>
      <c r="K4" s="41"/>
      <c r="L4" s="42"/>
      <c r="M4" s="43"/>
      <c r="N4" s="42"/>
      <c r="O4" s="43"/>
      <c r="P4" s="44"/>
      <c r="Q4" s="45"/>
      <c r="R4" s="43"/>
      <c r="S4" s="42"/>
      <c r="T4" s="46"/>
      <c r="U4" s="42"/>
      <c r="V4" s="43"/>
      <c r="W4" s="47"/>
      <c r="X4" s="46"/>
      <c r="Y4" s="42"/>
      <c r="Z4" s="43"/>
      <c r="AA4" s="47"/>
      <c r="AB4" s="46"/>
      <c r="AC4" s="48"/>
      <c r="AD4" s="43"/>
      <c r="AE4" s="47"/>
      <c r="AF4" s="46"/>
      <c r="AG4" s="42"/>
      <c r="AH4" s="43"/>
      <c r="AI4" s="47"/>
      <c r="AJ4" s="46"/>
      <c r="AK4" s="42"/>
      <c r="AL4" s="43"/>
      <c r="AM4" s="49" t="s">
        <v>47</v>
      </c>
      <c r="AN4" s="50" t="s">
        <v>48</v>
      </c>
      <c r="AO4" s="51"/>
      <c r="AP4" s="52"/>
      <c r="AQ4" s="40" t="s">
        <v>44</v>
      </c>
      <c r="AR4" s="53" t="s">
        <v>49</v>
      </c>
    </row>
    <row r="5" spans="1:44" s="54" customFormat="1" x14ac:dyDescent="0.25">
      <c r="A5" s="55">
        <f t="shared" ref="A5:A12" si="1">A4+1</f>
        <v>2</v>
      </c>
      <c r="B5" s="56" t="s">
        <v>50</v>
      </c>
      <c r="C5" s="57" t="s">
        <v>51</v>
      </c>
      <c r="D5" s="55" t="s">
        <v>44</v>
      </c>
      <c r="E5" s="55" t="s">
        <v>52</v>
      </c>
      <c r="F5" s="58" t="s">
        <v>53</v>
      </c>
      <c r="G5" s="59">
        <v>32809</v>
      </c>
      <c r="H5" s="59">
        <v>39706</v>
      </c>
      <c r="I5" s="60">
        <f t="shared" ca="1" si="0"/>
        <v>17</v>
      </c>
      <c r="J5" s="61"/>
      <c r="K5" s="41"/>
      <c r="L5" s="61"/>
      <c r="M5" s="62"/>
      <c r="N5" s="61"/>
      <c r="O5" s="62"/>
      <c r="P5" s="63"/>
      <c r="Q5" s="61"/>
      <c r="R5" s="62"/>
      <c r="S5" s="61"/>
      <c r="T5" s="64"/>
      <c r="U5" s="61"/>
      <c r="V5" s="62"/>
      <c r="W5" s="65"/>
      <c r="X5" s="64"/>
      <c r="Y5" s="61"/>
      <c r="Z5" s="62"/>
      <c r="AA5" s="65"/>
      <c r="AB5" s="64"/>
      <c r="AC5" s="61"/>
      <c r="AD5" s="62"/>
      <c r="AE5" s="65"/>
      <c r="AF5" s="64"/>
      <c r="AG5" s="61"/>
      <c r="AH5" s="62"/>
      <c r="AI5" s="65"/>
      <c r="AJ5" s="64"/>
      <c r="AK5" s="61"/>
      <c r="AL5" s="62"/>
      <c r="AM5" s="51"/>
      <c r="AN5" s="51"/>
      <c r="AO5" s="51"/>
      <c r="AP5" s="64"/>
      <c r="AQ5" s="61"/>
      <c r="AR5" s="53"/>
    </row>
    <row r="6" spans="1:44" s="54" customFormat="1" x14ac:dyDescent="0.25">
      <c r="A6" s="55">
        <f t="shared" si="1"/>
        <v>3</v>
      </c>
      <c r="B6" s="56" t="s">
        <v>54</v>
      </c>
      <c r="C6" s="57" t="s">
        <v>55</v>
      </c>
      <c r="D6" s="55" t="s">
        <v>56</v>
      </c>
      <c r="E6" s="55" t="s">
        <v>52</v>
      </c>
      <c r="F6" s="58" t="s">
        <v>57</v>
      </c>
      <c r="G6" s="59">
        <v>31831</v>
      </c>
      <c r="H6" s="59">
        <v>40445</v>
      </c>
      <c r="I6" s="60">
        <f t="shared" ca="1" si="0"/>
        <v>15</v>
      </c>
      <c r="J6" s="61"/>
      <c r="K6" s="41"/>
      <c r="L6" s="61"/>
      <c r="M6" s="62"/>
      <c r="N6" s="61"/>
      <c r="O6" s="62"/>
      <c r="P6" s="63"/>
      <c r="Q6" s="61"/>
      <c r="R6" s="62"/>
      <c r="S6" s="61"/>
      <c r="T6" s="64"/>
      <c r="U6" s="61"/>
      <c r="V6" s="62"/>
      <c r="W6" s="65"/>
      <c r="X6" s="64"/>
      <c r="Y6" s="61"/>
      <c r="Z6" s="62"/>
      <c r="AA6" s="65"/>
      <c r="AB6" s="64"/>
      <c r="AC6" s="61"/>
      <c r="AD6" s="62"/>
      <c r="AE6" s="65"/>
      <c r="AF6" s="64"/>
      <c r="AG6" s="61"/>
      <c r="AH6" s="62"/>
      <c r="AI6" s="65"/>
      <c r="AJ6" s="64"/>
      <c r="AK6" s="61"/>
      <c r="AL6" s="62"/>
      <c r="AM6" s="51"/>
      <c r="AN6" s="51"/>
      <c r="AO6" s="51"/>
      <c r="AP6" s="51"/>
      <c r="AQ6" s="61"/>
      <c r="AR6" s="66"/>
    </row>
    <row r="7" spans="1:44" s="54" customFormat="1" x14ac:dyDescent="0.25">
      <c r="A7" s="55">
        <f t="shared" si="1"/>
        <v>4</v>
      </c>
      <c r="B7" s="56" t="s">
        <v>58</v>
      </c>
      <c r="C7" s="57" t="s">
        <v>59</v>
      </c>
      <c r="D7" s="55" t="s">
        <v>56</v>
      </c>
      <c r="E7" s="55" t="s">
        <v>52</v>
      </c>
      <c r="F7" s="58" t="s">
        <v>60</v>
      </c>
      <c r="G7" s="59">
        <v>31558</v>
      </c>
      <c r="H7" s="59">
        <v>39668</v>
      </c>
      <c r="I7" s="60">
        <f t="shared" ca="1" si="0"/>
        <v>18</v>
      </c>
      <c r="J7" s="61"/>
      <c r="K7" s="41"/>
      <c r="L7" s="61"/>
      <c r="M7" s="62"/>
      <c r="N7" s="61"/>
      <c r="O7" s="62"/>
      <c r="P7" s="63"/>
      <c r="Q7" s="61"/>
      <c r="R7" s="62"/>
      <c r="S7" s="61"/>
      <c r="T7" s="64"/>
      <c r="U7" s="61"/>
      <c r="V7" s="62"/>
      <c r="W7" s="65"/>
      <c r="X7" s="64"/>
      <c r="Y7" s="61"/>
      <c r="Z7" s="62"/>
      <c r="AA7" s="65"/>
      <c r="AB7" s="64"/>
      <c r="AC7" s="61"/>
      <c r="AD7" s="62"/>
      <c r="AE7" s="65"/>
      <c r="AF7" s="64"/>
      <c r="AG7" s="61"/>
      <c r="AH7" s="62"/>
      <c r="AI7" s="65"/>
      <c r="AJ7" s="64"/>
      <c r="AK7" s="61"/>
      <c r="AL7" s="62"/>
      <c r="AM7" s="51"/>
      <c r="AN7" s="51"/>
      <c r="AO7" s="51"/>
      <c r="AP7" s="64"/>
      <c r="AQ7" s="61"/>
      <c r="AR7" s="66"/>
    </row>
    <row r="8" spans="1:44" s="54" customFormat="1" ht="45" x14ac:dyDescent="0.25">
      <c r="A8" s="55">
        <f t="shared" si="1"/>
        <v>5</v>
      </c>
      <c r="B8" s="56" t="s">
        <v>61</v>
      </c>
      <c r="C8" s="57" t="s">
        <v>59</v>
      </c>
      <c r="D8" s="55" t="s">
        <v>56</v>
      </c>
      <c r="E8" s="55" t="s">
        <v>45</v>
      </c>
      <c r="F8" s="58" t="s">
        <v>62</v>
      </c>
      <c r="G8" s="59">
        <v>26730</v>
      </c>
      <c r="H8" s="59">
        <v>40742</v>
      </c>
      <c r="I8" s="60">
        <f t="shared" ca="1" si="0"/>
        <v>15</v>
      </c>
      <c r="J8" s="61"/>
      <c r="K8" s="41"/>
      <c r="L8" s="61"/>
      <c r="M8" s="62"/>
      <c r="N8" s="61"/>
      <c r="O8" s="62"/>
      <c r="P8" s="63"/>
      <c r="Q8" s="61"/>
      <c r="R8" s="62"/>
      <c r="S8" s="61"/>
      <c r="T8" s="64"/>
      <c r="U8" s="61"/>
      <c r="V8" s="62"/>
      <c r="W8" s="65"/>
      <c r="X8" s="64"/>
      <c r="Y8" s="61"/>
      <c r="Z8" s="62"/>
      <c r="AA8" s="65"/>
      <c r="AB8" s="64"/>
      <c r="AC8" s="61"/>
      <c r="AD8" s="62"/>
      <c r="AE8" s="65"/>
      <c r="AF8" s="64"/>
      <c r="AG8" s="61"/>
      <c r="AH8" s="62"/>
      <c r="AI8" s="65"/>
      <c r="AJ8" s="64"/>
      <c r="AK8" s="61"/>
      <c r="AL8" s="62"/>
      <c r="AM8" s="51"/>
      <c r="AN8" s="51"/>
      <c r="AO8" s="51"/>
      <c r="AP8" s="64"/>
      <c r="AQ8" s="61"/>
      <c r="AR8" s="53" t="s">
        <v>63</v>
      </c>
    </row>
    <row r="9" spans="1:44" s="54" customFormat="1" ht="30" x14ac:dyDescent="0.25">
      <c r="A9" s="55">
        <f t="shared" si="1"/>
        <v>6</v>
      </c>
      <c r="B9" s="56" t="s">
        <v>64</v>
      </c>
      <c r="C9" s="57" t="s">
        <v>65</v>
      </c>
      <c r="D9" s="55" t="s">
        <v>56</v>
      </c>
      <c r="E9" s="55" t="s">
        <v>52</v>
      </c>
      <c r="F9" s="58" t="s">
        <v>66</v>
      </c>
      <c r="G9" s="59">
        <v>34489</v>
      </c>
      <c r="H9" s="59">
        <v>45161</v>
      </c>
      <c r="I9" s="60">
        <f t="shared" ca="1" si="0"/>
        <v>3</v>
      </c>
      <c r="J9" s="61" t="s">
        <v>29</v>
      </c>
      <c r="K9" s="41" t="s">
        <v>30</v>
      </c>
      <c r="L9" s="61" t="s">
        <v>67</v>
      </c>
      <c r="M9" s="62"/>
      <c r="N9" s="61" t="s">
        <v>68</v>
      </c>
      <c r="O9" s="62"/>
      <c r="P9" s="63" t="s">
        <v>69</v>
      </c>
      <c r="Q9" s="61"/>
      <c r="R9" s="62"/>
      <c r="S9" s="61"/>
      <c r="T9" s="64"/>
      <c r="U9" s="61"/>
      <c r="V9" s="62"/>
      <c r="W9" s="65"/>
      <c r="X9" s="64"/>
      <c r="Y9" s="61"/>
      <c r="Z9" s="62"/>
      <c r="AA9" s="65"/>
      <c r="AB9" s="64"/>
      <c r="AC9" s="61"/>
      <c r="AD9" s="62"/>
      <c r="AE9" s="65"/>
      <c r="AF9" s="64"/>
      <c r="AG9" s="61"/>
      <c r="AH9" s="62"/>
      <c r="AI9" s="65"/>
      <c r="AJ9" s="64"/>
      <c r="AK9" s="61"/>
      <c r="AL9" s="62"/>
      <c r="AM9" s="51"/>
      <c r="AN9" s="51"/>
      <c r="AO9" s="51"/>
      <c r="AP9" s="64"/>
      <c r="AQ9" s="51"/>
      <c r="AR9" s="67" t="s">
        <v>70</v>
      </c>
    </row>
    <row r="10" spans="1:44" s="54" customFormat="1" ht="45" x14ac:dyDescent="0.25">
      <c r="A10" s="55">
        <f t="shared" si="1"/>
        <v>7</v>
      </c>
      <c r="B10" s="56" t="s">
        <v>71</v>
      </c>
      <c r="C10" s="57" t="s">
        <v>72</v>
      </c>
      <c r="D10" s="55" t="s">
        <v>56</v>
      </c>
      <c r="E10" s="55" t="s">
        <v>52</v>
      </c>
      <c r="F10" s="58" t="s">
        <v>73</v>
      </c>
      <c r="G10" s="59">
        <v>37315</v>
      </c>
      <c r="H10" s="59">
        <v>45001</v>
      </c>
      <c r="I10" s="60">
        <f t="shared" ca="1" si="0"/>
        <v>3</v>
      </c>
      <c r="J10" s="61"/>
      <c r="K10" s="41" t="s">
        <v>30</v>
      </c>
      <c r="L10" s="61"/>
      <c r="M10" s="62" t="s">
        <v>74</v>
      </c>
      <c r="N10" s="61"/>
      <c r="O10" s="68" t="s">
        <v>75</v>
      </c>
      <c r="P10" s="63" t="s">
        <v>76</v>
      </c>
      <c r="Q10" s="61"/>
      <c r="R10" s="62"/>
      <c r="S10" s="61"/>
      <c r="T10" s="64"/>
      <c r="U10" s="61"/>
      <c r="V10" s="62"/>
      <c r="W10" s="65"/>
      <c r="X10" s="64"/>
      <c r="Y10" s="61"/>
      <c r="Z10" s="62"/>
      <c r="AA10" s="65"/>
      <c r="AB10" s="64"/>
      <c r="AC10" s="61"/>
      <c r="AD10" s="62"/>
      <c r="AE10" s="65"/>
      <c r="AF10" s="64"/>
      <c r="AG10" s="61"/>
      <c r="AH10" s="62"/>
      <c r="AI10" s="65"/>
      <c r="AJ10" s="64"/>
      <c r="AK10" s="61"/>
      <c r="AL10" s="62"/>
      <c r="AM10" s="69"/>
      <c r="AN10" s="51"/>
      <c r="AO10" s="51"/>
      <c r="AP10" s="64"/>
      <c r="AQ10" s="51"/>
      <c r="AR10" s="70"/>
    </row>
    <row r="11" spans="1:44" s="54" customFormat="1" ht="41.45" customHeight="1" thickBot="1" x14ac:dyDescent="0.3">
      <c r="A11" s="55">
        <f t="shared" si="1"/>
        <v>8</v>
      </c>
      <c r="B11" s="71" t="s">
        <v>77</v>
      </c>
      <c r="C11" s="72" t="s">
        <v>78</v>
      </c>
      <c r="D11" s="73" t="s">
        <v>56</v>
      </c>
      <c r="E11" s="73" t="s">
        <v>52</v>
      </c>
      <c r="F11" s="74" t="s">
        <v>79</v>
      </c>
      <c r="G11" s="75">
        <v>34771</v>
      </c>
      <c r="H11" s="76">
        <v>43619</v>
      </c>
      <c r="I11" s="60">
        <f t="shared" ca="1" si="0"/>
        <v>7</v>
      </c>
      <c r="J11" s="77" t="s">
        <v>29</v>
      </c>
      <c r="K11" s="78" t="s">
        <v>30</v>
      </c>
      <c r="L11" s="79" t="s">
        <v>80</v>
      </c>
      <c r="M11" s="80" t="s">
        <v>81</v>
      </c>
      <c r="N11" s="77" t="s">
        <v>82</v>
      </c>
      <c r="O11" s="81" t="s">
        <v>83</v>
      </c>
      <c r="P11" s="82" t="s">
        <v>76</v>
      </c>
      <c r="Q11" s="79" t="s">
        <v>84</v>
      </c>
      <c r="R11" s="81">
        <v>14</v>
      </c>
      <c r="S11" s="77"/>
      <c r="T11" s="83"/>
      <c r="U11" s="79" t="s">
        <v>85</v>
      </c>
      <c r="V11" s="81">
        <v>3</v>
      </c>
      <c r="W11" s="84"/>
      <c r="X11" s="85"/>
      <c r="Y11" s="86"/>
      <c r="Z11" s="87"/>
      <c r="AA11" s="84"/>
      <c r="AB11" s="85"/>
      <c r="AC11" s="86"/>
      <c r="AD11" s="87"/>
      <c r="AE11" s="84"/>
      <c r="AF11" s="85"/>
      <c r="AG11" s="86"/>
      <c r="AH11" s="87"/>
      <c r="AI11" s="84"/>
      <c r="AJ11" s="85"/>
      <c r="AK11" s="86"/>
      <c r="AL11" s="87"/>
      <c r="AM11" s="70"/>
      <c r="AN11" s="70"/>
      <c r="AO11" s="88" t="s">
        <v>86</v>
      </c>
      <c r="AP11" s="89">
        <v>45434</v>
      </c>
      <c r="AQ11" s="51" t="s">
        <v>87</v>
      </c>
      <c r="AR11" s="67" t="s">
        <v>88</v>
      </c>
    </row>
    <row r="12" spans="1:44" ht="105.75" thickBot="1" x14ac:dyDescent="0.3">
      <c r="A12" s="55">
        <f t="shared" si="1"/>
        <v>9</v>
      </c>
      <c r="B12" s="90" t="s">
        <v>89</v>
      </c>
      <c r="C12" s="91" t="s">
        <v>90</v>
      </c>
      <c r="D12" s="92" t="s">
        <v>56</v>
      </c>
      <c r="E12" s="92" t="s">
        <v>52</v>
      </c>
      <c r="F12" s="93" t="s">
        <v>91</v>
      </c>
      <c r="G12" s="75">
        <v>36271</v>
      </c>
      <c r="H12" s="75">
        <v>43177</v>
      </c>
      <c r="I12" s="60">
        <f t="shared" ca="1" si="0"/>
        <v>8</v>
      </c>
      <c r="J12" s="77" t="s">
        <v>29</v>
      </c>
      <c r="K12" s="78" t="s">
        <v>30</v>
      </c>
      <c r="L12" s="77" t="s">
        <v>92</v>
      </c>
      <c r="M12" s="81" t="s">
        <v>93</v>
      </c>
      <c r="N12" s="79" t="s">
        <v>94</v>
      </c>
      <c r="O12" s="80" t="s">
        <v>95</v>
      </c>
      <c r="P12" s="82" t="s">
        <v>76</v>
      </c>
      <c r="Q12" s="77"/>
      <c r="R12" s="81"/>
      <c r="S12" s="77"/>
      <c r="T12" s="83"/>
      <c r="U12" s="77"/>
      <c r="V12" s="81"/>
      <c r="W12" s="94"/>
      <c r="X12" s="83"/>
      <c r="Y12" s="77"/>
      <c r="Z12" s="81"/>
      <c r="AA12" s="94"/>
      <c r="AB12" s="83"/>
      <c r="AC12" s="77"/>
      <c r="AD12" s="81"/>
      <c r="AE12" s="94"/>
      <c r="AF12" s="83"/>
      <c r="AG12" s="77"/>
      <c r="AH12" s="81"/>
      <c r="AI12" s="94"/>
      <c r="AJ12" s="83"/>
      <c r="AK12" s="77"/>
      <c r="AL12" s="81"/>
      <c r="AM12" s="67" t="s">
        <v>96</v>
      </c>
      <c r="AN12" s="67" t="s">
        <v>97</v>
      </c>
      <c r="AO12" s="70"/>
      <c r="AP12" s="95"/>
      <c r="AQ12" s="51" t="s">
        <v>44</v>
      </c>
      <c r="AR12" s="67" t="s">
        <v>98</v>
      </c>
    </row>
    <row r="13" spans="1:44" ht="15.75" thickBot="1" x14ac:dyDescent="0.3">
      <c r="A13" s="96"/>
      <c r="B13" s="97"/>
      <c r="C13" s="96"/>
      <c r="D13" s="96"/>
      <c r="E13" s="96"/>
      <c r="F13" s="96"/>
      <c r="G13" s="96"/>
      <c r="H13" s="98"/>
      <c r="I13" s="96"/>
      <c r="J13" s="96">
        <f ca="1">SUMIF($J$4:$J$12,$J$3,$AQ$4:$AQ$11)</f>
        <v>0</v>
      </c>
      <c r="K13" s="96">
        <f ca="1">SUMIF($K$4:$K$12,$K$3,$AQ$4:$AQ$11)</f>
        <v>0</v>
      </c>
      <c r="L13" s="96"/>
      <c r="M13" s="96"/>
      <c r="N13" s="96"/>
      <c r="O13" s="96"/>
      <c r="P13" s="96"/>
      <c r="Q13" s="96"/>
      <c r="R13" s="96">
        <f>SUM(R4:R12)</f>
        <v>14</v>
      </c>
      <c r="S13" s="96"/>
      <c r="T13" s="96">
        <f>SUM(T4:T12)</f>
        <v>0</v>
      </c>
      <c r="U13" s="96"/>
      <c r="V13" s="96">
        <f>SUM(V4:V12)</f>
        <v>3</v>
      </c>
      <c r="W13" s="96"/>
      <c r="X13" s="96">
        <f>SUM(X4:X12)</f>
        <v>0</v>
      </c>
      <c r="Y13" s="96"/>
      <c r="Z13" s="96">
        <f>SUM(Z4:Z12)</f>
        <v>0</v>
      </c>
      <c r="AA13" s="96"/>
      <c r="AB13" s="96">
        <f>SUM(AB4:AB12)</f>
        <v>0</v>
      </c>
      <c r="AC13" s="96"/>
      <c r="AD13" s="96">
        <f>SUM(AD4:AD12)</f>
        <v>0</v>
      </c>
      <c r="AE13" s="96"/>
      <c r="AF13" s="96">
        <f>SUM(AF4:AF12)</f>
        <v>0</v>
      </c>
      <c r="AG13" s="96"/>
      <c r="AH13" s="96">
        <f>SUM(AH4:AH12)</f>
        <v>0</v>
      </c>
      <c r="AI13" s="96"/>
      <c r="AJ13" s="96"/>
      <c r="AK13" s="96"/>
      <c r="AL13" s="96"/>
      <c r="AM13" s="99"/>
      <c r="AN13" s="100"/>
      <c r="AO13" s="99"/>
      <c r="AP13" s="101"/>
      <c r="AQ13" s="99"/>
      <c r="AR13" s="99"/>
    </row>
    <row r="14" spans="1:44" x14ac:dyDescent="0.25">
      <c r="C14" s="102" t="s">
        <v>44</v>
      </c>
      <c r="D14" s="54">
        <f ca="1">SUMIF($D$4:$D$12,C14,$AQ$4:$AQ$11)</f>
        <v>0</v>
      </c>
      <c r="E14" s="1"/>
      <c r="F14" s="1"/>
      <c r="G14" s="1"/>
    </row>
    <row r="15" spans="1:44" x14ac:dyDescent="0.25">
      <c r="C15" s="102" t="s">
        <v>56</v>
      </c>
      <c r="D15" s="54">
        <f ca="1">SUMIF($D$4:$D$12,C15,$AQ$4:$AQ$11)</f>
        <v>0</v>
      </c>
      <c r="E15" s="1"/>
      <c r="F15" s="1"/>
      <c r="G15" s="1"/>
    </row>
    <row r="16" spans="1:44" x14ac:dyDescent="0.25">
      <c r="C16" s="102" t="s">
        <v>99</v>
      </c>
      <c r="D16" s="54">
        <f ca="1">SUMIF($D$4:$D$12,C16,$AQ$4:$AQ$11)</f>
        <v>0</v>
      </c>
      <c r="E16" s="1"/>
      <c r="F16" s="1"/>
      <c r="G16" s="1"/>
    </row>
    <row r="17" spans="2:7" x14ac:dyDescent="0.25">
      <c r="C17" s="102" t="s">
        <v>100</v>
      </c>
      <c r="D17" s="54">
        <f ca="1">SUMIF($D$4:$D$12,C17,$AQ$4:$AQ$11)</f>
        <v>0</v>
      </c>
      <c r="E17" s="1"/>
      <c r="F17" s="1"/>
      <c r="G17" s="1"/>
    </row>
    <row r="18" spans="2:7" x14ac:dyDescent="0.25">
      <c r="B18" s="2"/>
      <c r="C18" s="102" t="s">
        <v>101</v>
      </c>
      <c r="D18" s="54">
        <f ca="1">SUMIF($D$4:$D$12,C18,$AQ$4:$AQ$11)</f>
        <v>0</v>
      </c>
      <c r="E18" s="1"/>
      <c r="F18" s="1"/>
      <c r="G18" s="1"/>
    </row>
    <row r="19" spans="2:7" x14ac:dyDescent="0.25">
      <c r="B19" s="2"/>
      <c r="C19" s="1"/>
      <c r="D19" s="1"/>
      <c r="E19" s="1"/>
      <c r="F19" s="1"/>
      <c r="G19" s="1"/>
    </row>
    <row r="20" spans="2:7" x14ac:dyDescent="0.25">
      <c r="C20" s="103" t="s">
        <v>45</v>
      </c>
      <c r="D20" s="54">
        <f ca="1">SUMIF($E$4:$E$12,C20,$AQ$4:$AQ$11)</f>
        <v>0</v>
      </c>
    </row>
    <row r="21" spans="2:7" x14ac:dyDescent="0.25">
      <c r="C21" s="103" t="s">
        <v>52</v>
      </c>
      <c r="D21" s="54">
        <f ca="1">SUMIF($E$4:$E$12,C21,$AQ$4:$AQ$11)</f>
        <v>0</v>
      </c>
    </row>
    <row r="22" spans="2:7" x14ac:dyDescent="0.25">
      <c r="B22" s="102"/>
    </row>
    <row r="23" spans="2:7" x14ac:dyDescent="0.25">
      <c r="B23" s="104"/>
      <c r="C23" s="103" t="s">
        <v>29</v>
      </c>
      <c r="D23" s="54">
        <f ca="1">J13</f>
        <v>0</v>
      </c>
    </row>
    <row r="24" spans="2:7" x14ac:dyDescent="0.25">
      <c r="B24" s="104"/>
      <c r="C24" s="103" t="s">
        <v>30</v>
      </c>
      <c r="D24" s="54">
        <f ca="1">K13</f>
        <v>0</v>
      </c>
    </row>
    <row r="25" spans="2:7" x14ac:dyDescent="0.25">
      <c r="B25" s="104"/>
    </row>
    <row r="26" spans="2:7" x14ac:dyDescent="0.25">
      <c r="B26" s="104"/>
    </row>
    <row r="27" spans="2:7" x14ac:dyDescent="0.25">
      <c r="B27" s="102"/>
    </row>
    <row r="28" spans="2:7" x14ac:dyDescent="0.25">
      <c r="B28" s="102"/>
    </row>
  </sheetData>
  <mergeCells count="24">
    <mergeCell ref="AE2:AF2"/>
    <mergeCell ref="AG2:AH2"/>
    <mergeCell ref="AI2:AJ2"/>
    <mergeCell ref="AK2:AL2"/>
    <mergeCell ref="AM2:AN2"/>
    <mergeCell ref="AO2:AP2"/>
    <mergeCell ref="S2:T2"/>
    <mergeCell ref="U2:V2"/>
    <mergeCell ref="W2:X2"/>
    <mergeCell ref="Y2:Z2"/>
    <mergeCell ref="AA2:AB2"/>
    <mergeCell ref="AC2:AD2"/>
    <mergeCell ref="H2:H3"/>
    <mergeCell ref="I2:I3"/>
    <mergeCell ref="J2:K2"/>
    <mergeCell ref="L2:M2"/>
    <mergeCell ref="N2:O2"/>
    <mergeCell ref="Q2:R2"/>
    <mergeCell ref="A2:A3"/>
    <mergeCell ref="B2:C2"/>
    <mergeCell ref="D2:D3"/>
    <mergeCell ref="E2:E3"/>
    <mergeCell ref="F2:F3"/>
    <mergeCell ref="G2:G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Khakimovf</dc:creator>
  <cp:lastModifiedBy>Khakimovf</cp:lastModifiedBy>
  <dcterms:created xsi:type="dcterms:W3CDTF">2026-08-23T11:08:01Z</dcterms:created>
  <dcterms:modified xsi:type="dcterms:W3CDTF">2026-08-23T11:08:34Z</dcterms:modified>
</cp:coreProperties>
</file>