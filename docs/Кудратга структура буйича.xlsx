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358" i="1" l="1"/>
  <c r="A352" i="1"/>
  <c r="A353" i="1" s="1"/>
  <c r="A354" i="1" s="1"/>
  <c r="A355" i="1" s="1"/>
  <c r="C350" i="1"/>
  <c r="A346" i="1"/>
  <c r="A347" i="1" s="1"/>
  <c r="A348" i="1" s="1"/>
  <c r="A349" i="1" s="1"/>
  <c r="C344" i="1"/>
  <c r="A341" i="1"/>
  <c r="A342" i="1" s="1"/>
  <c r="A343" i="1" s="1"/>
  <c r="A340" i="1"/>
  <c r="C338" i="1"/>
  <c r="A334" i="1"/>
  <c r="A335" i="1" s="1"/>
  <c r="A336" i="1" s="1"/>
  <c r="A337" i="1" s="1"/>
  <c r="C332" i="1"/>
  <c r="C330" i="1"/>
  <c r="A327" i="1"/>
  <c r="A328" i="1" s="1"/>
  <c r="A329" i="1" s="1"/>
  <c r="C325" i="1"/>
  <c r="A324" i="1"/>
  <c r="C322" i="1"/>
  <c r="A318" i="1"/>
  <c r="A319" i="1" s="1"/>
  <c r="A320" i="1" s="1"/>
  <c r="A321" i="1" s="1"/>
  <c r="A317" i="1"/>
  <c r="C315" i="1"/>
  <c r="A311" i="1"/>
  <c r="A312" i="1" s="1"/>
  <c r="A313" i="1" s="1"/>
  <c r="A314" i="1" s="1"/>
  <c r="A310" i="1"/>
  <c r="C308" i="1"/>
  <c r="A305" i="1"/>
  <c r="A306" i="1" s="1"/>
  <c r="A307" i="1" s="1"/>
  <c r="C303" i="1"/>
  <c r="A301" i="1"/>
  <c r="A302" i="1" s="1"/>
  <c r="A300" i="1"/>
  <c r="C298" i="1"/>
  <c r="C295" i="1"/>
  <c r="A289" i="1"/>
  <c r="A290" i="1" s="1"/>
  <c r="A291" i="1" s="1"/>
  <c r="A292" i="1" s="1"/>
  <c r="A293" i="1" s="1"/>
  <c r="A294" i="1" s="1"/>
  <c r="C287" i="1"/>
  <c r="A285" i="1"/>
  <c r="A286" i="1" s="1"/>
  <c r="C283" i="1"/>
  <c r="C279" i="1"/>
  <c r="A277" i="1"/>
  <c r="A278" i="1" s="1"/>
  <c r="C275" i="1"/>
  <c r="A274" i="1"/>
  <c r="C272" i="1"/>
  <c r="A270" i="1"/>
  <c r="A271" i="1" s="1"/>
  <c r="C268" i="1"/>
  <c r="A266" i="1"/>
  <c r="A267" i="1" s="1"/>
  <c r="A265" i="1"/>
  <c r="C263" i="1"/>
  <c r="A261" i="1"/>
  <c r="A262" i="1" s="1"/>
  <c r="A260" i="1"/>
  <c r="C258" i="1"/>
  <c r="C254" i="1"/>
  <c r="A251" i="1"/>
  <c r="A252" i="1" s="1"/>
  <c r="A253" i="1" s="1"/>
  <c r="C249" i="1"/>
  <c r="A245" i="1"/>
  <c r="A246" i="1" s="1"/>
  <c r="A247" i="1" s="1"/>
  <c r="A248" i="1" s="1"/>
  <c r="C243" i="1"/>
  <c r="A240" i="1"/>
  <c r="A241" i="1" s="1"/>
  <c r="A242" i="1" s="1"/>
  <c r="C238" i="1"/>
  <c r="A232" i="1"/>
  <c r="A233" i="1" s="1"/>
  <c r="A234" i="1" s="1"/>
  <c r="A235" i="1" s="1"/>
  <c r="A236" i="1" s="1"/>
  <c r="A237" i="1" s="1"/>
  <c r="C230" i="1"/>
  <c r="A227" i="1"/>
  <c r="A228" i="1" s="1"/>
  <c r="A229" i="1" s="1"/>
  <c r="C225" i="1"/>
  <c r="C221" i="1"/>
  <c r="A214" i="1"/>
  <c r="A215" i="1" s="1"/>
  <c r="A216" i="1" s="1"/>
  <c r="C212" i="1"/>
  <c r="A204" i="1"/>
  <c r="A205" i="1" s="1"/>
  <c r="A206" i="1" s="1"/>
  <c r="A207" i="1" s="1"/>
  <c r="A208" i="1" s="1"/>
  <c r="A209" i="1" s="1"/>
  <c r="A210" i="1" s="1"/>
  <c r="A211" i="1" s="1"/>
  <c r="A203" i="1"/>
  <c r="C202" i="1"/>
  <c r="C200" i="1"/>
  <c r="C194" i="1"/>
  <c r="C191" i="1"/>
  <c r="A181" i="1"/>
  <c r="A182" i="1" s="1"/>
  <c r="A183" i="1" s="1"/>
  <c r="A184" i="1" s="1"/>
  <c r="A185" i="1" s="1"/>
  <c r="A186" i="1" s="1"/>
  <c r="A187" i="1" s="1"/>
  <c r="A188" i="1" s="1"/>
  <c r="A189" i="1" s="1"/>
  <c r="A190" i="1" s="1"/>
  <c r="C179" i="1"/>
  <c r="A178" i="1"/>
  <c r="C176" i="1"/>
  <c r="C173" i="1"/>
  <c r="A170" i="1"/>
  <c r="A171" i="1" s="1"/>
  <c r="A172" i="1" s="1"/>
  <c r="C168" i="1"/>
  <c r="A167" i="1"/>
  <c r="A166" i="1"/>
  <c r="C164" i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C152" i="1"/>
  <c r="A150" i="1"/>
  <c r="C149" i="1"/>
  <c r="A147" i="1"/>
  <c r="C145" i="1"/>
  <c r="A143" i="1"/>
  <c r="A144" i="1" s="1"/>
  <c r="C141" i="1"/>
  <c r="A137" i="1"/>
  <c r="A138" i="1" s="1"/>
  <c r="A139" i="1" s="1"/>
  <c r="A140" i="1" s="1"/>
  <c r="C135" i="1"/>
  <c r="C126" i="1"/>
  <c r="C121" i="1"/>
  <c r="C117" i="1"/>
  <c r="C115" i="1"/>
  <c r="A108" i="1"/>
  <c r="A109" i="1" s="1"/>
  <c r="A110" i="1" s="1"/>
  <c r="A111" i="1" s="1"/>
  <c r="A112" i="1" s="1"/>
  <c r="A113" i="1" s="1"/>
  <c r="A114" i="1" s="1"/>
  <c r="C106" i="1"/>
  <c r="C103" i="1"/>
  <c r="C99" i="1"/>
  <c r="A98" i="1"/>
  <c r="C96" i="1"/>
  <c r="C93" i="1"/>
  <c r="A90" i="1"/>
  <c r="A91" i="1" s="1"/>
  <c r="A92" i="1" s="1"/>
  <c r="C88" i="1"/>
  <c r="C84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C66" i="1"/>
  <c r="C62" i="1"/>
  <c r="A58" i="1"/>
  <c r="A59" i="1" s="1"/>
  <c r="A60" i="1" s="1"/>
  <c r="A61" i="1" s="1"/>
  <c r="A63" i="1" s="1"/>
  <c r="A64" i="1" s="1"/>
  <c r="A65" i="1" s="1"/>
  <c r="A57" i="1"/>
  <c r="C55" i="1"/>
  <c r="A48" i="1"/>
  <c r="A49" i="1" s="1"/>
  <c r="A50" i="1" s="1"/>
  <c r="A51" i="1" s="1"/>
  <c r="A52" i="1" s="1"/>
  <c r="A53" i="1" s="1"/>
  <c r="A54" i="1" s="1"/>
  <c r="C46" i="1"/>
  <c r="A44" i="1"/>
  <c r="A45" i="1" s="1"/>
  <c r="A43" i="1"/>
  <c r="C41" i="1"/>
  <c r="A37" i="1"/>
  <c r="A38" i="1" s="1"/>
  <c r="A39" i="1" s="1"/>
  <c r="A40" i="1" s="1"/>
  <c r="A35" i="1"/>
  <c r="C33" i="1"/>
  <c r="A29" i="1"/>
  <c r="A30" i="1" s="1"/>
  <c r="A31" i="1" s="1"/>
  <c r="A32" i="1" s="1"/>
  <c r="A28" i="1"/>
  <c r="C25" i="1"/>
  <c r="A18" i="1"/>
  <c r="A19" i="1" s="1"/>
  <c r="A20" i="1" s="1"/>
  <c r="A21" i="1" s="1"/>
  <c r="A22" i="1" s="1"/>
  <c r="A23" i="1" s="1"/>
  <c r="A24" i="1" s="1"/>
  <c r="C16" i="1"/>
  <c r="C12" i="1"/>
  <c r="C10" i="1"/>
  <c r="C7" i="1"/>
  <c r="C5" i="1"/>
  <c r="C359" i="1" s="1"/>
  <c r="C2" i="1"/>
  <c r="A218" i="1" l="1"/>
  <c r="A219" i="1" s="1"/>
  <c r="A220" i="1" s="1"/>
  <c r="A217" i="1"/>
</calcChain>
</file>

<file path=xl/sharedStrings.xml><?xml version="1.0" encoding="utf-8"?>
<sst xmlns="http://schemas.openxmlformats.org/spreadsheetml/2006/main" count="361" uniqueCount="266">
  <si>
    <t>№</t>
  </si>
  <si>
    <t>Lavozimlar nomi</t>
  </si>
  <si>
    <t>Tashkiliy tuzilmaga asosan</t>
  </si>
  <si>
    <t>Direksiya</t>
  </si>
  <si>
    <t>Bosh direktor</t>
  </si>
  <si>
    <t>Texnik direktor</t>
  </si>
  <si>
    <t>Komplayens xizmati</t>
  </si>
  <si>
    <t>Komplayens boʻyicha menejer</t>
  </si>
  <si>
    <t>Tarjimonlar boʻlimi</t>
  </si>
  <si>
    <t>Tarjimonlar boʻlimi boshligʻi</t>
  </si>
  <si>
    <t>Tarjimon</t>
  </si>
  <si>
    <t>Global xarid va logistika boshqarmasi</t>
  </si>
  <si>
    <t>Boshqarma boshligʻi</t>
  </si>
  <si>
    <t>Xarid  boʻlinmasi</t>
  </si>
  <si>
    <t xml:space="preserve">Boʻlinma boshligʻi </t>
  </si>
  <si>
    <t>Xarid agenti (mahalliy)</t>
  </si>
  <si>
    <t>Xarid agenti (import)</t>
  </si>
  <si>
    <t>Logistika boʻlinmasi</t>
  </si>
  <si>
    <t>Boʻlinma boshligʻi</t>
  </si>
  <si>
    <t>Аgent (logistika)</t>
  </si>
  <si>
    <t>Ombor mudiri (bojxona)</t>
  </si>
  <si>
    <t>Muhandis (Toshkent vakolatxonasi)</t>
  </si>
  <si>
    <t>Operator (bojxona ombori)</t>
  </si>
  <si>
    <t>Havozali kran mashinisti</t>
  </si>
  <si>
    <t>Stropalshik</t>
  </si>
  <si>
    <t>Yukchi (logistika)</t>
  </si>
  <si>
    <t>Materiallar kuzatuvi boʻlimi</t>
  </si>
  <si>
    <t>Boʻlim boshligʻi</t>
  </si>
  <si>
    <t>Pitnak filiali xom-ashyolari boʻyicha seksiya boshligʻi</t>
  </si>
  <si>
    <t>Mutaxassis (Import materiallar bilan taʼminlash)</t>
  </si>
  <si>
    <t>Mutaxassis (Mahalliy materiallar bilan taʼminlash)</t>
  </si>
  <si>
    <t>Mutaxassis (Mahalliy kirim hisobi nazorati)</t>
  </si>
  <si>
    <t>Ekspeditor</t>
  </si>
  <si>
    <t>Xom-ashyo ombori boʻlinmasi (Irmash)</t>
  </si>
  <si>
    <t>Ombor mudiri  (yordamchi materiallar)</t>
  </si>
  <si>
    <t>Ombor mudiri (xom-ashyo va tikuv materiallari)</t>
  </si>
  <si>
    <t>Omborchi (xom-ashyo ombori)</t>
  </si>
  <si>
    <t>Operator (xom-ashyo ombori)</t>
  </si>
  <si>
    <t>Butlovchi (xom-ashyo ombori)</t>
  </si>
  <si>
    <t>Xom-ashyo ombori boʻlinmasi (Sh.S.H.)</t>
  </si>
  <si>
    <t>Ombor mudiri</t>
  </si>
  <si>
    <t>Omborchi</t>
  </si>
  <si>
    <t>Butlovchi</t>
  </si>
  <si>
    <t>Xodimlar bilan ishlash boʻlimi</t>
  </si>
  <si>
    <t xml:space="preserve">Boʻlim boshligʻi </t>
  </si>
  <si>
    <t>Boʻlim boshligʻi oʻrinbosari</t>
  </si>
  <si>
    <t>Direktor maslahatchisi (yoshlar boʻyicha)</t>
  </si>
  <si>
    <t>Mutaxassis (kadrlar boʻyicha)</t>
  </si>
  <si>
    <t>Mutaxassis (tabеl hisobi)</t>
  </si>
  <si>
    <t>Inspektor (harbiy bron)</t>
  </si>
  <si>
    <t>Mutaxassis (YAMMT va TRAINING boʻyicha)</t>
  </si>
  <si>
    <t>HR tahlilchi</t>
  </si>
  <si>
    <t>Xavfsizlik va qoʻriqlash xizmati</t>
  </si>
  <si>
    <t>Xavfsizlik xizmati boshligʻi</t>
  </si>
  <si>
    <t>Xavfsizlik xizmati boshligʻi oʻrinbosari</t>
  </si>
  <si>
    <t>Qoʻriqchi (tabelchi)</t>
  </si>
  <si>
    <t>Smena katta qoʻriqchisi</t>
  </si>
  <si>
    <t>Qoʻriqchi</t>
  </si>
  <si>
    <t>Videokuzatuv operatori</t>
  </si>
  <si>
    <t>Yongʻin xavfsizligi va fuqaro muhofazasi seksiyasi</t>
  </si>
  <si>
    <t>Seksiya boshligʻi (Yongʻin xavfsizligi va fuqaro muhofazasi)</t>
  </si>
  <si>
    <t>Yoʻriqchi-chilangar (Yongʻin xavfsizligi va fuqaro muhofazasi)</t>
  </si>
  <si>
    <t>Yongʻin xavfsizligi boʻyicha muhandisi</t>
  </si>
  <si>
    <t>Ma'muriy-xoʻjalik boʻlimi</t>
  </si>
  <si>
    <t>Muhandis (xoʻjalik ishlar boʻyicha)</t>
  </si>
  <si>
    <t>Muhandis (ma'muriy ishlar boʻyicha)</t>
  </si>
  <si>
    <t>Muhandis (qurilish boʻyicha)</t>
  </si>
  <si>
    <t>Muhandis inspektor (arxivarius)</t>
  </si>
  <si>
    <t>Ta'minot bo'yicha muhandis</t>
  </si>
  <si>
    <t>Omborchi (oshxona bo'yicha)</t>
  </si>
  <si>
    <t>Yordamchi ishchi</t>
  </si>
  <si>
    <t>Feldsher</t>
  </si>
  <si>
    <t>Farrosh</t>
  </si>
  <si>
    <t>Oshpaz (koreyalik mutaxassislar uchun)</t>
  </si>
  <si>
    <t>Bogʻbon</t>
  </si>
  <si>
    <t>Elektro-gaz payvandchi</t>
  </si>
  <si>
    <t>Chilangar-santexnik</t>
  </si>
  <si>
    <t>Bosh muhandis-dasturchi</t>
  </si>
  <si>
    <t>Kompyuter sistemalari texnigi</t>
  </si>
  <si>
    <t>Ish yurituvchi</t>
  </si>
  <si>
    <t>Yuridik boʻlim</t>
  </si>
  <si>
    <t>Yuriskonsult</t>
  </si>
  <si>
    <t>Korporativ boshqaruv mutaxassis</t>
  </si>
  <si>
    <t>Buxgalteriya hisobi boʻlimi</t>
  </si>
  <si>
    <t>Bosh buxgalter</t>
  </si>
  <si>
    <t>Bosh buxgalter oʻrinbosari</t>
  </si>
  <si>
    <t>Buxgalter</t>
  </si>
  <si>
    <t>Moliyachi</t>
  </si>
  <si>
    <t>Reja-iqtisod boʻlimi</t>
  </si>
  <si>
    <t>Iqtisodchi (Rejalashtirish)</t>
  </si>
  <si>
    <t xml:space="preserve"> Chiqindilarini sotish boʻlimi</t>
  </si>
  <si>
    <t>Uchastka boshligʻi</t>
  </si>
  <si>
    <t>Yangi loyihalar va mahalliylashtirish boʻlimi</t>
  </si>
  <si>
    <t>Mahalliylashtirish boʻlinmasi boshligʻi</t>
  </si>
  <si>
    <t>Muhandis (yangi loyiha yaratuvchi)</t>
  </si>
  <si>
    <t>Sinov laboratoriyasi</t>
  </si>
  <si>
    <t>Laboratoriya mudiri</t>
  </si>
  <si>
    <t>Muhandis-sinovchi</t>
  </si>
  <si>
    <t>Marketing va eksport boʻlimi</t>
  </si>
  <si>
    <t>Seksiya boshligʻi (Kazakhstan)</t>
  </si>
  <si>
    <t>Seksiya boshligʻi (Avtoservis)</t>
  </si>
  <si>
    <t>Muhandis</t>
  </si>
  <si>
    <t>Muhandis Azerbayjan</t>
  </si>
  <si>
    <t>Operator</t>
  </si>
  <si>
    <t>Mutaxassis (nolekvidlarni hisobi va sotishi boʻyicha)</t>
  </si>
  <si>
    <t>Sifat nazorati boʻlimi</t>
  </si>
  <si>
    <t>Sifat menejment tizimi boʻlinmasi</t>
  </si>
  <si>
    <t>SMT boʻyicha muhandis (Irmash)</t>
  </si>
  <si>
    <t>SMT boʻyicha muhandis (Promzona)</t>
  </si>
  <si>
    <t>Kirish nazorati (SQE, WARANTY) boʻlinmasi</t>
  </si>
  <si>
    <t>SQE boʻyicha muhandis</t>
  </si>
  <si>
    <t>Sifat nazorati muhandisi</t>
  </si>
  <si>
    <t>Sifat nazoratchisi KD, MD</t>
  </si>
  <si>
    <t>Yigʻuv, TPA, Tikuv sifati nazorati boʻlinmasi</t>
  </si>
  <si>
    <t>BYD boʻyicha muhandis</t>
  </si>
  <si>
    <t>Ichki hujjatlar boʻyicha muhandis</t>
  </si>
  <si>
    <t>Usta</t>
  </si>
  <si>
    <t>Sifat nazoratchisi</t>
  </si>
  <si>
    <t>Sifat nazoratchisi (tikuv)</t>
  </si>
  <si>
    <t>Sifat nazoratchisi (laminatsiya)</t>
  </si>
  <si>
    <t>Sifat nazoratchisi (BYD JIZZAKH)</t>
  </si>
  <si>
    <t>BIQS, Metrologiya, Boʻyoqlash, Kazakhstan SKD boʻlinmasi</t>
  </si>
  <si>
    <t>Metrologiya va standartlashtirish boʻyicha muhandis</t>
  </si>
  <si>
    <t>BIQS boʻyicha muhandis</t>
  </si>
  <si>
    <t>Sifat nazoratchisi (boʻyoqlash)</t>
  </si>
  <si>
    <t>Sifat nazoratchisi (Kazakhstan)</t>
  </si>
  <si>
    <t>Sifat nazorati boʻlinmasi  (UzAuto)</t>
  </si>
  <si>
    <t>Sifat nazorati boʻlinmasi (Sh.S.H.)</t>
  </si>
  <si>
    <t>Sifat nazoratchisi PDI, BYD, MD/KD</t>
  </si>
  <si>
    <t>Yetkazib berish tizimi boshqarmasi</t>
  </si>
  <si>
    <t>Tabelchi</t>
  </si>
  <si>
    <t>Yetkazib berish boʻlimi (Irmash)</t>
  </si>
  <si>
    <t>Muhandis (1C)</t>
  </si>
  <si>
    <t>Muhandis-dasturchi (Stellafor ASN)</t>
  </si>
  <si>
    <t>Ekspeditor (Tong-Heung)</t>
  </si>
  <si>
    <t>Operator (ASN)</t>
  </si>
  <si>
    <t xml:space="preserve">Operator </t>
  </si>
  <si>
    <t>Sanoqchi (kirish)</t>
  </si>
  <si>
    <t>Sanoqchi (chiqish)</t>
  </si>
  <si>
    <t>Yukchi</t>
  </si>
  <si>
    <t>Butlovchi BYD Jizzah</t>
  </si>
  <si>
    <t>Taʼminot boʻlinmasi</t>
  </si>
  <si>
    <t>Tayyor mahsulotlar boʻlinmasi (UzAutoMotors)</t>
  </si>
  <si>
    <t>Koordinator (Yetkazib berish nazorati)</t>
  </si>
  <si>
    <t>Smena boshligʻi</t>
  </si>
  <si>
    <t>KD va daval xom-ashyoni hisobi boʻlinmasi</t>
  </si>
  <si>
    <t>Arava taʼmirlash uchastkasi</t>
  </si>
  <si>
    <t>Transport boʻlinmasi</t>
  </si>
  <si>
    <t>Transport boʻlinmasi boshligʻi</t>
  </si>
  <si>
    <t>Mexanik</t>
  </si>
  <si>
    <t>Dispetcher</t>
  </si>
  <si>
    <t>Yoqilgʻi-moylash materiallari quyuvchi</t>
  </si>
  <si>
    <t>Chilangar</t>
  </si>
  <si>
    <t xml:space="preserve">Avtomobil haydovchisi (yengil) </t>
  </si>
  <si>
    <t>Avtomobil haydovchisi (Yuk tashuvchi) ISUZU</t>
  </si>
  <si>
    <t>Avtomobil haydovchisi (Uzun oʻlchamli yuk tashuvchi)</t>
  </si>
  <si>
    <t>Elektrli koʻtargich haydovchi KARA</t>
  </si>
  <si>
    <t>Avtomobil haydovchisi (Yuk tashuvchi) GAZEL</t>
  </si>
  <si>
    <t>Avtomobil haydovchisi (Yuk tashuvchi) KIA BONGO</t>
  </si>
  <si>
    <t>Ishlab chiqarish texnologiyasi boʻlimi</t>
  </si>
  <si>
    <t xml:space="preserve">Muhandis - texnolog </t>
  </si>
  <si>
    <t>Mehnat muhofazasi boshqarmasi</t>
  </si>
  <si>
    <t>Sh.S.H.boʻlinmasi boshligʻi</t>
  </si>
  <si>
    <t>Mehnat muhofazasi muhandisi (Irmash)</t>
  </si>
  <si>
    <t>Muhandis-ekolog</t>
  </si>
  <si>
    <t>Mehnat muhofazasi muhandisi (Sh.S.H.)</t>
  </si>
  <si>
    <t>Energomexanika boshqarmasi</t>
  </si>
  <si>
    <t>Energomexanika boshqarmasi direktori</t>
  </si>
  <si>
    <t>Energo-Mexanik boʻlimi</t>
  </si>
  <si>
    <t>Bosh energetik</t>
  </si>
  <si>
    <t>Muhandis-energetik</t>
  </si>
  <si>
    <t>Muhandis-mexanik</t>
  </si>
  <si>
    <t>Elektrik</t>
  </si>
  <si>
    <t>Usta (tikuv mashinasi)</t>
  </si>
  <si>
    <t>Qoʻlda payvandlash elektrogaz payvandchisi</t>
  </si>
  <si>
    <t>Energomexanika boʻlinmasi (Sh.S.H.)</t>
  </si>
  <si>
    <t xml:space="preserve">Usta </t>
  </si>
  <si>
    <t>Usta (Karpet)</t>
  </si>
  <si>
    <t>Ishlab chiqarish boshqarmasi</t>
  </si>
  <si>
    <t>Вoshqarma boshligʻi</t>
  </si>
  <si>
    <t>Ishlab chiqarishni rejalashtirish boʻlinmasi</t>
  </si>
  <si>
    <t>Koordinator</t>
  </si>
  <si>
    <t>Muhandis (Ishlab chiqarishni rejalashtirish)</t>
  </si>
  <si>
    <t>Muhandis (Ishlab chiqarishni rejalashtirish) (Kazakh&amp;Azer)</t>
  </si>
  <si>
    <t>Yigʻuv sexi</t>
  </si>
  <si>
    <t>Yigʻuv sexi boshligʻi</t>
  </si>
  <si>
    <t>Hisobchi</t>
  </si>
  <si>
    <t>Muhandis (Hisobot)</t>
  </si>
  <si>
    <t>Muhandis (Onix-Tracker)</t>
  </si>
  <si>
    <t>Muhandis (Jarayon)</t>
  </si>
  <si>
    <t>Operator OYNA ERP</t>
  </si>
  <si>
    <t>Yigʻuv liniyasi ONIX-TRACKER D/T</t>
  </si>
  <si>
    <t>Smena ustasi</t>
  </si>
  <si>
    <t>Plastmassa payvandchi</t>
  </si>
  <si>
    <t>Yigʻuvchi</t>
  </si>
  <si>
    <t>Bo‘yoqchi</t>
  </si>
  <si>
    <t>Yigʻuv liniyasi GSVEM D/T</t>
  </si>
  <si>
    <t>Yelimchi</t>
  </si>
  <si>
    <t>Yigʻuv liniyasi I/Р LINE ALL MODELS</t>
  </si>
  <si>
    <t>Usta (Smena)</t>
  </si>
  <si>
    <t>Plastmassa payvandchisi</t>
  </si>
  <si>
    <t>Yigʻuv uchastkasi LASER SCORING</t>
  </si>
  <si>
    <t>Lazerli kesish operatori</t>
  </si>
  <si>
    <t>Lazer qurilmalarida plastmassa payvandchi</t>
  </si>
  <si>
    <t>Yigʻuv liniyasi ONIX-TRACKER CONSOLE</t>
  </si>
  <si>
    <t>Yigʻuv liniyasi Laminatsiya va kley surtish uchastkasi</t>
  </si>
  <si>
    <t>Presslovchi</t>
  </si>
  <si>
    <t>Yigʻuv liniyasi SUB LINE ALL MODELS</t>
  </si>
  <si>
    <t>Yigʻuv sexi №2</t>
  </si>
  <si>
    <t>Yigʻuv sexi №2 boshligʻi</t>
  </si>
  <si>
    <t>Tikuv uchastkasi</t>
  </si>
  <si>
    <t>Usta (tikuv)</t>
  </si>
  <si>
    <t>Tikuvchi</t>
  </si>
  <si>
    <t>Bichuv uchastkasi</t>
  </si>
  <si>
    <t>Usta (bichuv)</t>
  </si>
  <si>
    <t>Kesish uskunalari operatori</t>
  </si>
  <si>
    <t>Mato yoyuvchi</t>
  </si>
  <si>
    <t>BYD yigʻuv liniyasi</t>
  </si>
  <si>
    <t>Usta (Yigʻuv BYD)</t>
  </si>
  <si>
    <t>TPA uchastkasi</t>
  </si>
  <si>
    <t>Rejalashtirish boʻyicha muhandis</t>
  </si>
  <si>
    <t>Jarayonlar boʻyicha  muhandis</t>
  </si>
  <si>
    <t>Plastmassa quyuvchi</t>
  </si>
  <si>
    <t>Qolip ta'mirlash uchastkasi</t>
  </si>
  <si>
    <t>Muhandis (Qolip boʻyicha)</t>
  </si>
  <si>
    <t>Gazelektropayvandchi</t>
  </si>
  <si>
    <t>Boʻyoqlash sexi</t>
  </si>
  <si>
    <t>Sex boshlig‘i</t>
  </si>
  <si>
    <t>Muhandis (hisobot)</t>
  </si>
  <si>
    <t>Ikkilamchi xom-ashyoni qayta ishlash uchastkasi</t>
  </si>
  <si>
    <t>Uchastka boshlig‘i</t>
  </si>
  <si>
    <t>Qumoqlash operatori</t>
  </si>
  <si>
    <t>Plastmassa maydalovchi</t>
  </si>
  <si>
    <t>Shimoliy sanoat hududi</t>
  </si>
  <si>
    <t>Shim.San.hududi direktori</t>
  </si>
  <si>
    <t>Shim.San.hududi direktori oʻrinbosari</t>
  </si>
  <si>
    <t>Suv va gaz muhandisi</t>
  </si>
  <si>
    <t>Rejalashtirish muhandisi</t>
  </si>
  <si>
    <t>Jarayon muhandisi</t>
  </si>
  <si>
    <t>Administratsiya boʻlinmasi (Sh.S.H.)</t>
  </si>
  <si>
    <t>Muhandis (qurilish bo'yicha)</t>
  </si>
  <si>
    <t>Xizmat xonalarni tozalovchi</t>
  </si>
  <si>
    <t>Bogʻbon-santexnik</t>
  </si>
  <si>
    <t>Chiqindilarini saralash uchastkasi (Sh.S.H.)</t>
  </si>
  <si>
    <t>Omborchi (Shim.san.hud)</t>
  </si>
  <si>
    <t>Yordamchi ishchi (Shim.san.hud)</t>
  </si>
  <si>
    <t>Yetkazib berish va tayyor mahsulotlar ombori (Sh.S.H.)</t>
  </si>
  <si>
    <t>Ta'minot brigadasi (Sh.S.H.)</t>
  </si>
  <si>
    <t>Butlovchi (ta'minot bo'yicha)</t>
  </si>
  <si>
    <t>Karpet sexi (Sh.S.H.)</t>
  </si>
  <si>
    <t>Sex boshligʻi</t>
  </si>
  <si>
    <t>Igna urish dastgohi operatori</t>
  </si>
  <si>
    <t>Quritish dastgohi operatori</t>
  </si>
  <si>
    <t>Ekstruder operatori</t>
  </si>
  <si>
    <t>Yigʻuv sexi (Sh.S.H.) №1</t>
  </si>
  <si>
    <t>Plastmassa payvanchi</t>
  </si>
  <si>
    <t>Yigʻuv sexi (Sh.S.H.) №2 BYD</t>
  </si>
  <si>
    <t>Press sexi (Sh.S.H.)</t>
  </si>
  <si>
    <t>Sex boshligʻi (press)</t>
  </si>
  <si>
    <t>Yuqori chastotali oqim qurilmalarida payvandchi</t>
  </si>
  <si>
    <t>Qizigʻida shallash presslovchi</t>
  </si>
  <si>
    <t>Suvda kesish operatori</t>
  </si>
  <si>
    <t>Ishda boʻlmaganlar</t>
  </si>
  <si>
    <t>Dekret</t>
  </si>
  <si>
    <t>Kasanachi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</si>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</sst>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129"/>
      <scheme val="minor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28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>
      <alignment horizontal="center" vertical="center" wrapText="1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left" vertical="center" wrapText="1"/>
      <protection locked="0"/>
    </xf>
    <xf numFmtId="0" fontId="5" fillId="3" borderId="2" xfId="2" applyFont="1" applyFill="1" applyBorder="1" applyAlignment="1">
      <alignment horizontal="center" vertical="center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left" vertical="center" wrapText="1"/>
      <protection locked="0"/>
    </xf>
    <xf numFmtId="0" fontId="7" fillId="4" borderId="1" xfId="2" applyFont="1" applyFill="1" applyBorder="1" applyAlignment="1">
      <alignment vertical="center"/>
    </xf>
    <xf numFmtId="0" fontId="6" fillId="4" borderId="1" xfId="1" applyFont="1" applyFill="1" applyBorder="1" applyAlignment="1" applyProtection="1">
      <alignment horizontal="center" vertical="center" wrapText="1"/>
      <protection locked="0"/>
    </xf>
    <xf numFmtId="0" fontId="6" fillId="4" borderId="1" xfId="1" applyFont="1" applyFill="1" applyBorder="1" applyAlignment="1" applyProtection="1">
      <alignment horizontal="left" vertical="center"/>
      <protection locked="0"/>
    </xf>
    <xf numFmtId="0" fontId="6" fillId="3" borderId="1" xfId="1" applyFont="1" applyFill="1" applyBorder="1" applyAlignment="1" applyProtection="1">
      <alignment horizontal="left" vertical="center"/>
      <protection locked="0"/>
    </xf>
    <xf numFmtId="0" fontId="2" fillId="3" borderId="2" xfId="1" applyFont="1" applyFill="1" applyBorder="1" applyAlignment="1" applyProtection="1">
      <alignment vertical="center"/>
      <protection locked="0"/>
    </xf>
    <xf numFmtId="0" fontId="2" fillId="3" borderId="3" xfId="1" applyFont="1" applyFill="1" applyBorder="1" applyAlignment="1" applyProtection="1">
      <alignment vertical="center"/>
      <protection locked="0"/>
    </xf>
    <xf numFmtId="0" fontId="2" fillId="3" borderId="1" xfId="2" applyFont="1" applyFill="1" applyBorder="1" applyAlignment="1">
      <alignment vertical="center"/>
    </xf>
    <xf numFmtId="0" fontId="8" fillId="4" borderId="1" xfId="1" applyFont="1" applyFill="1" applyBorder="1" applyAlignment="1" applyProtection="1">
      <alignment horizontal="left" vertical="center"/>
      <protection locked="0"/>
    </xf>
    <xf numFmtId="0" fontId="8" fillId="4" borderId="1" xfId="1" applyFont="1" applyFill="1" applyBorder="1" applyAlignment="1" applyProtection="1">
      <alignment horizontal="left" vertical="center" wrapText="1"/>
      <protection locked="0"/>
    </xf>
    <xf numFmtId="0" fontId="6" fillId="4" borderId="4" xfId="1" applyFont="1" applyFill="1" applyBorder="1" applyAlignment="1" applyProtection="1">
      <alignment horizontal="left" vertical="center" wrapText="1"/>
      <protection locked="0"/>
    </xf>
    <xf numFmtId="0" fontId="6" fillId="3" borderId="1" xfId="1" applyFont="1" applyFill="1" applyBorder="1" applyAlignment="1" applyProtection="1">
      <alignment horizontal="left" vertical="center" wrapText="1"/>
      <protection locked="0"/>
    </xf>
    <xf numFmtId="0" fontId="2" fillId="3" borderId="2" xfId="1" applyFont="1" applyFill="1" applyBorder="1" applyAlignment="1" applyProtection="1">
      <alignment horizontal="left" vertical="center"/>
      <protection locked="0"/>
    </xf>
    <xf numFmtId="0" fontId="2" fillId="3" borderId="3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6" fillId="4" borderId="1" xfId="1" applyFont="1" applyFill="1" applyBorder="1" applyAlignment="1" applyProtection="1">
      <alignment horizontal="left" wrapText="1"/>
      <protection locked="0"/>
    </xf>
    <xf numFmtId="0" fontId="5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vertical="center"/>
    </xf>
    <xf numFmtId="0" fontId="9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0" fontId="10" fillId="2" borderId="0" xfId="2" applyFont="1" applyFill="1" applyAlignment="1">
      <alignment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"/>
  <sheetViews>
    <sheetView tabSelected="1" topLeftCell="A349" workbookViewId="0">
      <selection activeCell="C358" sqref="C358"/>
    </sheetView>
  </sheetViews>
  <sheetFormatPr defaultRowHeight="18"/>
  <cols>
    <col min="1" max="1" width="4.140625" style="25" customWidth="1"/>
    <col min="2" max="2" width="48" style="26" customWidth="1"/>
    <col min="3" max="3" width="15.7109375" style="27" customWidth="1"/>
  </cols>
  <sheetData>
    <row r="1" spans="1:3" ht="56.25">
      <c r="A1" s="1" t="s">
        <v>0</v>
      </c>
      <c r="B1" s="1" t="s">
        <v>1</v>
      </c>
      <c r="C1" s="2" t="s">
        <v>2</v>
      </c>
    </row>
    <row r="2" spans="1:3" ht="20.25">
      <c r="A2" s="3" t="s">
        <v>3</v>
      </c>
      <c r="B2" s="4"/>
      <c r="C2" s="5">
        <f>C3+C4</f>
        <v>2</v>
      </c>
    </row>
    <row r="3" spans="1:3" ht="18.75">
      <c r="A3" s="6">
        <v>1</v>
      </c>
      <c r="B3" s="7" t="s">
        <v>4</v>
      </c>
      <c r="C3" s="8">
        <v>1</v>
      </c>
    </row>
    <row r="4" spans="1:3" ht="18.75">
      <c r="A4" s="6">
        <v>2</v>
      </c>
      <c r="B4" s="7" t="s">
        <v>5</v>
      </c>
      <c r="C4" s="8">
        <v>1</v>
      </c>
    </row>
    <row r="5" spans="1:3" ht="20.25">
      <c r="A5" s="3" t="s">
        <v>6</v>
      </c>
      <c r="B5" s="4"/>
      <c r="C5" s="5">
        <f>C6</f>
        <v>1</v>
      </c>
    </row>
    <row r="6" spans="1:3" ht="18.75">
      <c r="A6" s="6">
        <v>1</v>
      </c>
      <c r="B6" s="7" t="s">
        <v>7</v>
      </c>
      <c r="C6" s="8">
        <v>1</v>
      </c>
    </row>
    <row r="7" spans="1:3" ht="20.25">
      <c r="A7" s="3" t="s">
        <v>8</v>
      </c>
      <c r="B7" s="4"/>
      <c r="C7" s="5">
        <f>C8+C9</f>
        <v>2</v>
      </c>
    </row>
    <row r="8" spans="1:3" ht="18.75">
      <c r="A8" s="9">
        <v>1</v>
      </c>
      <c r="B8" s="7" t="s">
        <v>9</v>
      </c>
      <c r="C8" s="8">
        <v>1</v>
      </c>
    </row>
    <row r="9" spans="1:3" ht="18.75">
      <c r="A9" s="9">
        <v>2</v>
      </c>
      <c r="B9" s="7" t="s">
        <v>10</v>
      </c>
      <c r="C9" s="8">
        <v>1</v>
      </c>
    </row>
    <row r="10" spans="1:3" ht="20.25">
      <c r="A10" s="3" t="s">
        <v>11</v>
      </c>
      <c r="B10" s="4"/>
      <c r="C10" s="5">
        <f>C11</f>
        <v>1</v>
      </c>
    </row>
    <row r="11" spans="1:3" ht="18.75">
      <c r="A11" s="6">
        <v>1</v>
      </c>
      <c r="B11" s="7" t="s">
        <v>12</v>
      </c>
      <c r="C11" s="8">
        <v>1</v>
      </c>
    </row>
    <row r="12" spans="1:3" ht="20.25">
      <c r="A12" s="3" t="s">
        <v>13</v>
      </c>
      <c r="B12" s="4"/>
      <c r="C12" s="5">
        <f>C13+C14+C15</f>
        <v>4</v>
      </c>
    </row>
    <row r="13" spans="1:3" ht="18.75">
      <c r="A13" s="6">
        <v>1</v>
      </c>
      <c r="B13" s="7" t="s">
        <v>14</v>
      </c>
      <c r="C13" s="8">
        <v>1</v>
      </c>
    </row>
    <row r="14" spans="1:3" ht="18.75">
      <c r="A14" s="6">
        <v>2</v>
      </c>
      <c r="B14" s="7" t="s">
        <v>15</v>
      </c>
      <c r="C14" s="8">
        <v>1</v>
      </c>
    </row>
    <row r="15" spans="1:3" ht="18.75">
      <c r="A15" s="6">
        <v>3</v>
      </c>
      <c r="B15" s="7" t="s">
        <v>16</v>
      </c>
      <c r="C15" s="8">
        <v>2</v>
      </c>
    </row>
    <row r="16" spans="1:3" ht="20.25">
      <c r="A16" s="3" t="s">
        <v>17</v>
      </c>
      <c r="B16" s="4"/>
      <c r="C16" s="5">
        <f>SUM(C17:C24)</f>
        <v>10</v>
      </c>
    </row>
    <row r="17" spans="1:3" ht="18.75">
      <c r="A17" s="6">
        <v>1</v>
      </c>
      <c r="B17" s="7" t="s">
        <v>18</v>
      </c>
      <c r="C17" s="8">
        <v>1</v>
      </c>
    </row>
    <row r="18" spans="1:3" ht="18.75">
      <c r="A18" s="6">
        <f t="shared" ref="A18:A24" si="0">A17+1</f>
        <v>2</v>
      </c>
      <c r="B18" s="7" t="s">
        <v>19</v>
      </c>
      <c r="C18" s="8">
        <v>2</v>
      </c>
    </row>
    <row r="19" spans="1:3" ht="18.75">
      <c r="A19" s="6">
        <f t="shared" si="0"/>
        <v>3</v>
      </c>
      <c r="B19" s="7" t="s">
        <v>20</v>
      </c>
      <c r="C19" s="8">
        <v>1</v>
      </c>
    </row>
    <row r="20" spans="1:3" ht="18.75">
      <c r="A20" s="6">
        <f t="shared" si="0"/>
        <v>4</v>
      </c>
      <c r="B20" s="7" t="s">
        <v>21</v>
      </c>
      <c r="C20" s="8">
        <v>1</v>
      </c>
    </row>
    <row r="21" spans="1:3" ht="18.75">
      <c r="A21" s="6">
        <f t="shared" si="0"/>
        <v>5</v>
      </c>
      <c r="B21" s="7" t="s">
        <v>22</v>
      </c>
      <c r="C21" s="8">
        <v>1</v>
      </c>
    </row>
    <row r="22" spans="1:3" ht="18.75">
      <c r="A22" s="6">
        <f t="shared" si="0"/>
        <v>6</v>
      </c>
      <c r="B22" s="7" t="s">
        <v>23</v>
      </c>
      <c r="C22" s="8">
        <v>2</v>
      </c>
    </row>
    <row r="23" spans="1:3" ht="18.75">
      <c r="A23" s="6">
        <f t="shared" si="0"/>
        <v>7</v>
      </c>
      <c r="B23" s="7" t="s">
        <v>24</v>
      </c>
      <c r="C23" s="8">
        <v>1</v>
      </c>
    </row>
    <row r="24" spans="1:3" ht="18.75">
      <c r="A24" s="6">
        <f t="shared" si="0"/>
        <v>8</v>
      </c>
      <c r="B24" s="7" t="s">
        <v>25</v>
      </c>
      <c r="C24" s="8">
        <v>1</v>
      </c>
    </row>
    <row r="25" spans="1:3" ht="20.25">
      <c r="A25" s="3" t="s">
        <v>26</v>
      </c>
      <c r="B25" s="4"/>
      <c r="C25" s="5">
        <f>SUM(C26:C32)</f>
        <v>10</v>
      </c>
    </row>
    <row r="26" spans="1:3" ht="18.75">
      <c r="A26" s="6">
        <v>1</v>
      </c>
      <c r="B26" s="7" t="s">
        <v>27</v>
      </c>
      <c r="C26" s="8">
        <v>1</v>
      </c>
    </row>
    <row r="27" spans="1:3" ht="18.75">
      <c r="A27" s="6">
        <v>2</v>
      </c>
      <c r="B27" s="7" t="s">
        <v>18</v>
      </c>
      <c r="C27" s="8">
        <v>1</v>
      </c>
    </row>
    <row r="28" spans="1:3" ht="18.75">
      <c r="A28" s="6">
        <f>A26+1</f>
        <v>2</v>
      </c>
      <c r="B28" s="7" t="s">
        <v>28</v>
      </c>
      <c r="C28" s="8">
        <v>1</v>
      </c>
    </row>
    <row r="29" spans="1:3" ht="18.75">
      <c r="A29" s="6">
        <f t="shared" ref="A29:A32" si="1">A28+1</f>
        <v>3</v>
      </c>
      <c r="B29" s="7" t="s">
        <v>29</v>
      </c>
      <c r="C29" s="8">
        <v>3</v>
      </c>
    </row>
    <row r="30" spans="1:3" ht="18.75">
      <c r="A30" s="6">
        <f t="shared" si="1"/>
        <v>4</v>
      </c>
      <c r="B30" s="7" t="s">
        <v>30</v>
      </c>
      <c r="C30" s="8">
        <v>2</v>
      </c>
    </row>
    <row r="31" spans="1:3" ht="18.75">
      <c r="A31" s="6">
        <f t="shared" si="1"/>
        <v>5</v>
      </c>
      <c r="B31" s="7" t="s">
        <v>31</v>
      </c>
      <c r="C31" s="8">
        <v>1</v>
      </c>
    </row>
    <row r="32" spans="1:3" ht="18.75">
      <c r="A32" s="6">
        <f t="shared" si="1"/>
        <v>6</v>
      </c>
      <c r="B32" s="7" t="s">
        <v>32</v>
      </c>
      <c r="C32" s="8">
        <v>1</v>
      </c>
    </row>
    <row r="33" spans="1:3" ht="20.25">
      <c r="A33" s="3" t="s">
        <v>33</v>
      </c>
      <c r="B33" s="4"/>
      <c r="C33" s="5">
        <f>SUM(C34:C40)</f>
        <v>23</v>
      </c>
    </row>
    <row r="34" spans="1:3" ht="18.75">
      <c r="A34" s="6">
        <v>1</v>
      </c>
      <c r="B34" s="7" t="s">
        <v>18</v>
      </c>
      <c r="C34" s="8">
        <v>1</v>
      </c>
    </row>
    <row r="35" spans="1:3" ht="18.75">
      <c r="A35" s="6">
        <f>A34+1</f>
        <v>2</v>
      </c>
      <c r="B35" s="7" t="s">
        <v>34</v>
      </c>
      <c r="C35" s="8">
        <v>1</v>
      </c>
    </row>
    <row r="36" spans="1:3" ht="18.75">
      <c r="A36" s="6">
        <v>3</v>
      </c>
      <c r="B36" s="7" t="s">
        <v>35</v>
      </c>
      <c r="C36" s="8">
        <v>1</v>
      </c>
    </row>
    <row r="37" spans="1:3" ht="18.75">
      <c r="A37" s="6">
        <f>A36+1</f>
        <v>4</v>
      </c>
      <c r="B37" s="7" t="s">
        <v>36</v>
      </c>
      <c r="C37" s="8">
        <v>3</v>
      </c>
    </row>
    <row r="38" spans="1:3" ht="18.75">
      <c r="A38" s="6">
        <f>A37+1</f>
        <v>5</v>
      </c>
      <c r="B38" s="7" t="s">
        <v>37</v>
      </c>
      <c r="C38" s="8">
        <v>3</v>
      </c>
    </row>
    <row r="39" spans="1:3" ht="18.75">
      <c r="A39" s="6">
        <f>A38+1</f>
        <v>6</v>
      </c>
      <c r="B39" s="10" t="s">
        <v>38</v>
      </c>
      <c r="C39" s="8">
        <v>13</v>
      </c>
    </row>
    <row r="40" spans="1:3" ht="18.75">
      <c r="A40" s="6">
        <f>A39+1</f>
        <v>7</v>
      </c>
      <c r="B40" s="7" t="s">
        <v>32</v>
      </c>
      <c r="C40" s="8">
        <v>1</v>
      </c>
    </row>
    <row r="41" spans="1:3" ht="20.25">
      <c r="A41" s="3" t="s">
        <v>39</v>
      </c>
      <c r="B41" s="4"/>
      <c r="C41" s="5">
        <f>SUM(C42:C45)</f>
        <v>5</v>
      </c>
    </row>
    <row r="42" spans="1:3" ht="18.75">
      <c r="A42" s="6">
        <v>1</v>
      </c>
      <c r="B42" s="7" t="s">
        <v>40</v>
      </c>
      <c r="C42" s="8">
        <v>1</v>
      </c>
    </row>
    <row r="43" spans="1:3" ht="18.75">
      <c r="A43" s="6">
        <f>A42+1</f>
        <v>2</v>
      </c>
      <c r="B43" s="7" t="s">
        <v>41</v>
      </c>
      <c r="C43" s="8">
        <v>1</v>
      </c>
    </row>
    <row r="44" spans="1:3" ht="18.75">
      <c r="A44" s="6">
        <f>A43+1</f>
        <v>3</v>
      </c>
      <c r="B44" s="10" t="s">
        <v>42</v>
      </c>
      <c r="C44" s="8">
        <v>2</v>
      </c>
    </row>
    <row r="45" spans="1:3" ht="18.75">
      <c r="A45" s="6">
        <f>A44+1</f>
        <v>4</v>
      </c>
      <c r="B45" s="7" t="s">
        <v>32</v>
      </c>
      <c r="C45" s="8">
        <v>1</v>
      </c>
    </row>
    <row r="46" spans="1:3" ht="20.25">
      <c r="A46" s="3" t="s">
        <v>43</v>
      </c>
      <c r="B46" s="4"/>
      <c r="C46" s="5">
        <f>SUM(C47:C54)</f>
        <v>9</v>
      </c>
    </row>
    <row r="47" spans="1:3" ht="18.75">
      <c r="A47" s="6">
        <v>1</v>
      </c>
      <c r="B47" s="7" t="s">
        <v>44</v>
      </c>
      <c r="C47" s="8">
        <v>1</v>
      </c>
    </row>
    <row r="48" spans="1:3" ht="18.75">
      <c r="A48" s="6">
        <f>A47+1</f>
        <v>2</v>
      </c>
      <c r="B48" s="7" t="s">
        <v>45</v>
      </c>
      <c r="C48" s="8">
        <v>1</v>
      </c>
    </row>
    <row r="49" spans="1:3" ht="18.75">
      <c r="A49" s="6">
        <f t="shared" ref="A49:A54" si="2">A48+1</f>
        <v>3</v>
      </c>
      <c r="B49" s="10" t="s">
        <v>46</v>
      </c>
      <c r="C49" s="8">
        <v>1</v>
      </c>
    </row>
    <row r="50" spans="1:3" ht="18.75">
      <c r="A50" s="6">
        <f t="shared" si="2"/>
        <v>4</v>
      </c>
      <c r="B50" s="10" t="s">
        <v>47</v>
      </c>
      <c r="C50" s="8">
        <v>2</v>
      </c>
    </row>
    <row r="51" spans="1:3" ht="18.75">
      <c r="A51" s="6">
        <f t="shared" si="2"/>
        <v>5</v>
      </c>
      <c r="B51" s="10" t="s">
        <v>48</v>
      </c>
      <c r="C51" s="8">
        <v>1</v>
      </c>
    </row>
    <row r="52" spans="1:3" ht="18.75">
      <c r="A52" s="6">
        <f t="shared" si="2"/>
        <v>6</v>
      </c>
      <c r="B52" s="7" t="s">
        <v>49</v>
      </c>
      <c r="C52" s="8">
        <v>1</v>
      </c>
    </row>
    <row r="53" spans="1:3" ht="18.75">
      <c r="A53" s="6">
        <f t="shared" si="2"/>
        <v>7</v>
      </c>
      <c r="B53" s="10" t="s">
        <v>50</v>
      </c>
      <c r="C53" s="8">
        <v>1</v>
      </c>
    </row>
    <row r="54" spans="1:3" ht="18.75">
      <c r="A54" s="6">
        <f t="shared" si="2"/>
        <v>8</v>
      </c>
      <c r="B54" s="10" t="s">
        <v>51</v>
      </c>
      <c r="C54" s="8">
        <v>1</v>
      </c>
    </row>
    <row r="55" spans="1:3" ht="20.25">
      <c r="A55" s="3" t="s">
        <v>52</v>
      </c>
      <c r="B55" s="4"/>
      <c r="C55" s="5">
        <f>SUM(C56:C61)</f>
        <v>43</v>
      </c>
    </row>
    <row r="56" spans="1:3" ht="18.75">
      <c r="A56" s="6">
        <v>1</v>
      </c>
      <c r="B56" s="10" t="s">
        <v>53</v>
      </c>
      <c r="C56" s="8">
        <v>1</v>
      </c>
    </row>
    <row r="57" spans="1:3" ht="18.75">
      <c r="A57" s="6">
        <f>A56+1</f>
        <v>2</v>
      </c>
      <c r="B57" s="7" t="s">
        <v>54</v>
      </c>
      <c r="C57" s="8">
        <v>1</v>
      </c>
    </row>
    <row r="58" spans="1:3" ht="18.75">
      <c r="A58" s="6">
        <f t="shared" ref="A58:A61" si="3">A57+1</f>
        <v>3</v>
      </c>
      <c r="B58" s="10" t="s">
        <v>55</v>
      </c>
      <c r="C58" s="8">
        <v>2</v>
      </c>
    </row>
    <row r="59" spans="1:3" ht="18.75">
      <c r="A59" s="6">
        <f t="shared" si="3"/>
        <v>4</v>
      </c>
      <c r="B59" s="10" t="s">
        <v>56</v>
      </c>
      <c r="C59" s="8">
        <v>8</v>
      </c>
    </row>
    <row r="60" spans="1:3" ht="18.75">
      <c r="A60" s="6">
        <f t="shared" si="3"/>
        <v>5</v>
      </c>
      <c r="B60" s="10" t="s">
        <v>57</v>
      </c>
      <c r="C60" s="8">
        <v>28</v>
      </c>
    </row>
    <row r="61" spans="1:3" ht="18.75">
      <c r="A61" s="6">
        <f t="shared" si="3"/>
        <v>6</v>
      </c>
      <c r="B61" s="10" t="s">
        <v>58</v>
      </c>
      <c r="C61" s="8">
        <v>3</v>
      </c>
    </row>
    <row r="62" spans="1:3" ht="20.25">
      <c r="A62" s="3" t="s">
        <v>59</v>
      </c>
      <c r="B62" s="11"/>
      <c r="C62" s="5">
        <f>SUM(C63:C65)</f>
        <v>4</v>
      </c>
    </row>
    <row r="63" spans="1:3" ht="18.75">
      <c r="A63" s="6">
        <f>A61+1</f>
        <v>7</v>
      </c>
      <c r="B63" s="10" t="s">
        <v>60</v>
      </c>
      <c r="C63" s="8">
        <v>1</v>
      </c>
    </row>
    <row r="64" spans="1:3" ht="18.75">
      <c r="A64" s="6">
        <f t="shared" ref="A64:A65" si="4">A63+1</f>
        <v>8</v>
      </c>
      <c r="B64" s="10" t="s">
        <v>61</v>
      </c>
      <c r="C64" s="8">
        <v>2</v>
      </c>
    </row>
    <row r="65" spans="1:3" ht="18.75">
      <c r="A65" s="6">
        <f t="shared" si="4"/>
        <v>9</v>
      </c>
      <c r="B65" s="10" t="s">
        <v>62</v>
      </c>
      <c r="C65" s="8">
        <v>1</v>
      </c>
    </row>
    <row r="66" spans="1:3" ht="20.25">
      <c r="A66" s="3" t="s">
        <v>63</v>
      </c>
      <c r="B66" s="4"/>
      <c r="C66" s="5">
        <f>SUM(C67:C83)</f>
        <v>27</v>
      </c>
    </row>
    <row r="67" spans="1:3" ht="18.75">
      <c r="A67" s="6">
        <v>1</v>
      </c>
      <c r="B67" s="10" t="s">
        <v>27</v>
      </c>
      <c r="C67" s="8">
        <v>1</v>
      </c>
    </row>
    <row r="68" spans="1:3" ht="18.75">
      <c r="A68" s="6">
        <f>A67+1</f>
        <v>2</v>
      </c>
      <c r="B68" s="10" t="s">
        <v>64</v>
      </c>
      <c r="C68" s="8">
        <v>1</v>
      </c>
    </row>
    <row r="69" spans="1:3" ht="18.75">
      <c r="A69" s="6">
        <f t="shared" ref="A69:A83" si="5">A68+1</f>
        <v>3</v>
      </c>
      <c r="B69" s="10" t="s">
        <v>65</v>
      </c>
      <c r="C69" s="8">
        <v>1</v>
      </c>
    </row>
    <row r="70" spans="1:3" ht="18.75">
      <c r="A70" s="6">
        <f t="shared" si="5"/>
        <v>4</v>
      </c>
      <c r="B70" s="10" t="s">
        <v>66</v>
      </c>
      <c r="C70" s="8">
        <v>1</v>
      </c>
    </row>
    <row r="71" spans="1:3" ht="18.75">
      <c r="A71" s="6">
        <f t="shared" si="5"/>
        <v>5</v>
      </c>
      <c r="B71" s="10" t="s">
        <v>67</v>
      </c>
      <c r="C71" s="8">
        <v>1</v>
      </c>
    </row>
    <row r="72" spans="1:3" ht="18.75">
      <c r="A72" s="6">
        <f t="shared" si="5"/>
        <v>6</v>
      </c>
      <c r="B72" s="10" t="s">
        <v>68</v>
      </c>
      <c r="C72" s="8">
        <v>1</v>
      </c>
    </row>
    <row r="73" spans="1:3" ht="18.75">
      <c r="A73" s="6">
        <f t="shared" si="5"/>
        <v>7</v>
      </c>
      <c r="B73" s="10" t="s">
        <v>69</v>
      </c>
      <c r="C73" s="8">
        <v>1</v>
      </c>
    </row>
    <row r="74" spans="1:3" ht="18.75">
      <c r="A74" s="6">
        <f t="shared" si="5"/>
        <v>8</v>
      </c>
      <c r="B74" s="7" t="s">
        <v>70</v>
      </c>
      <c r="C74" s="8">
        <v>1</v>
      </c>
    </row>
    <row r="75" spans="1:3" ht="18.75">
      <c r="A75" s="6">
        <f t="shared" si="5"/>
        <v>9</v>
      </c>
      <c r="B75" s="10" t="s">
        <v>71</v>
      </c>
      <c r="C75" s="8">
        <v>3</v>
      </c>
    </row>
    <row r="76" spans="1:3" ht="18.75">
      <c r="A76" s="6">
        <f t="shared" si="5"/>
        <v>10</v>
      </c>
      <c r="B76" s="10" t="s">
        <v>72</v>
      </c>
      <c r="C76" s="8">
        <v>8</v>
      </c>
    </row>
    <row r="77" spans="1:3" ht="18.75">
      <c r="A77" s="6">
        <f t="shared" si="5"/>
        <v>11</v>
      </c>
      <c r="B77" s="10" t="s">
        <v>73</v>
      </c>
      <c r="C77" s="8">
        <v>1</v>
      </c>
    </row>
    <row r="78" spans="1:3" ht="18.75">
      <c r="A78" s="6">
        <f t="shared" si="5"/>
        <v>12</v>
      </c>
      <c r="B78" s="10" t="s">
        <v>74</v>
      </c>
      <c r="C78" s="8">
        <v>1</v>
      </c>
    </row>
    <row r="79" spans="1:3" ht="18.75">
      <c r="A79" s="6">
        <f t="shared" si="5"/>
        <v>13</v>
      </c>
      <c r="B79" s="7" t="s">
        <v>75</v>
      </c>
      <c r="C79" s="8">
        <v>2</v>
      </c>
    </row>
    <row r="80" spans="1:3" ht="18.75">
      <c r="A80" s="6">
        <f t="shared" si="5"/>
        <v>14</v>
      </c>
      <c r="B80" s="7" t="s">
        <v>76</v>
      </c>
      <c r="C80" s="8">
        <v>1</v>
      </c>
    </row>
    <row r="81" spans="1:3" ht="18.75">
      <c r="A81" s="6">
        <f t="shared" si="5"/>
        <v>15</v>
      </c>
      <c r="B81" s="10" t="s">
        <v>77</v>
      </c>
      <c r="C81" s="8">
        <v>1</v>
      </c>
    </row>
    <row r="82" spans="1:3" ht="18.75">
      <c r="A82" s="6">
        <f t="shared" si="5"/>
        <v>16</v>
      </c>
      <c r="B82" s="10" t="s">
        <v>78</v>
      </c>
      <c r="C82" s="8">
        <v>1</v>
      </c>
    </row>
    <row r="83" spans="1:3" ht="18.75">
      <c r="A83" s="6">
        <f t="shared" si="5"/>
        <v>17</v>
      </c>
      <c r="B83" s="10" t="s">
        <v>79</v>
      </c>
      <c r="C83" s="8">
        <v>1</v>
      </c>
    </row>
    <row r="84" spans="1:3" ht="20.25">
      <c r="A84" s="3" t="s">
        <v>80</v>
      </c>
      <c r="B84" s="4"/>
      <c r="C84" s="5">
        <f>C85+C86+C87</f>
        <v>3</v>
      </c>
    </row>
    <row r="85" spans="1:3" ht="18.75">
      <c r="A85" s="9">
        <v>1</v>
      </c>
      <c r="B85" s="7" t="s">
        <v>27</v>
      </c>
      <c r="C85" s="8">
        <v>1</v>
      </c>
    </row>
    <row r="86" spans="1:3" ht="18.75">
      <c r="A86" s="6">
        <v>2</v>
      </c>
      <c r="B86" s="7" t="s">
        <v>81</v>
      </c>
      <c r="C86" s="8">
        <v>1</v>
      </c>
    </row>
    <row r="87" spans="1:3" ht="18.75">
      <c r="A87" s="6">
        <v>3</v>
      </c>
      <c r="B87" s="7" t="s">
        <v>82</v>
      </c>
      <c r="C87" s="8">
        <v>1</v>
      </c>
    </row>
    <row r="88" spans="1:3" ht="20.25">
      <c r="A88" s="3" t="s">
        <v>83</v>
      </c>
      <c r="B88" s="4"/>
      <c r="C88" s="5">
        <f>SUM(C89:C92)</f>
        <v>12</v>
      </c>
    </row>
    <row r="89" spans="1:3" ht="18.75">
      <c r="A89" s="9">
        <v>1</v>
      </c>
      <c r="B89" s="7" t="s">
        <v>84</v>
      </c>
      <c r="C89" s="8">
        <v>1</v>
      </c>
    </row>
    <row r="90" spans="1:3" ht="18.75">
      <c r="A90" s="9">
        <f>A89+1</f>
        <v>2</v>
      </c>
      <c r="B90" s="7" t="s">
        <v>85</v>
      </c>
      <c r="C90" s="8">
        <v>1</v>
      </c>
    </row>
    <row r="91" spans="1:3" ht="18.75">
      <c r="A91" s="9">
        <f>A90+1</f>
        <v>3</v>
      </c>
      <c r="B91" s="7" t="s">
        <v>86</v>
      </c>
      <c r="C91" s="8">
        <v>9</v>
      </c>
    </row>
    <row r="92" spans="1:3" ht="18.75">
      <c r="A92" s="9">
        <f>A91+1</f>
        <v>4</v>
      </c>
      <c r="B92" s="10" t="s">
        <v>87</v>
      </c>
      <c r="C92" s="8">
        <v>1</v>
      </c>
    </row>
    <row r="93" spans="1:3" ht="20.25">
      <c r="A93" s="3" t="s">
        <v>88</v>
      </c>
      <c r="B93" s="4"/>
      <c r="C93" s="5">
        <f>C94+C95</f>
        <v>4</v>
      </c>
    </row>
    <row r="94" spans="1:3" ht="18.75">
      <c r="A94" s="6">
        <v>1</v>
      </c>
      <c r="B94" s="10" t="s">
        <v>27</v>
      </c>
      <c r="C94" s="8">
        <v>1</v>
      </c>
    </row>
    <row r="95" spans="1:3" ht="18.75">
      <c r="A95" s="6">
        <v>3</v>
      </c>
      <c r="B95" s="7" t="s">
        <v>89</v>
      </c>
      <c r="C95" s="8">
        <v>3</v>
      </c>
    </row>
    <row r="96" spans="1:3" ht="20.25">
      <c r="A96" s="3" t="s">
        <v>90</v>
      </c>
      <c r="B96" s="4"/>
      <c r="C96" s="5">
        <f>C97+C98</f>
        <v>5</v>
      </c>
    </row>
    <row r="97" spans="1:3" ht="18.75">
      <c r="A97" s="6">
        <v>1</v>
      </c>
      <c r="B97" s="7" t="s">
        <v>91</v>
      </c>
      <c r="C97" s="8">
        <v>1</v>
      </c>
    </row>
    <row r="98" spans="1:3" ht="18.75">
      <c r="A98" s="6">
        <f>A97+1</f>
        <v>2</v>
      </c>
      <c r="B98" s="7" t="s">
        <v>70</v>
      </c>
      <c r="C98" s="8">
        <v>4</v>
      </c>
    </row>
    <row r="99" spans="1:3" ht="20.25">
      <c r="A99" s="3" t="s">
        <v>92</v>
      </c>
      <c r="B99" s="4"/>
      <c r="C99" s="5">
        <f>C100+C101+C102</f>
        <v>7</v>
      </c>
    </row>
    <row r="100" spans="1:3" ht="18.75">
      <c r="A100" s="6">
        <v>1</v>
      </c>
      <c r="B100" s="10" t="s">
        <v>27</v>
      </c>
      <c r="C100" s="8">
        <v>1</v>
      </c>
    </row>
    <row r="101" spans="1:3" ht="18.75">
      <c r="A101" s="6">
        <v>2</v>
      </c>
      <c r="B101" s="10" t="s">
        <v>93</v>
      </c>
      <c r="C101" s="8">
        <v>1</v>
      </c>
    </row>
    <row r="102" spans="1:3" ht="18.75">
      <c r="A102" s="6">
        <v>3</v>
      </c>
      <c r="B102" s="10" t="s">
        <v>94</v>
      </c>
      <c r="C102" s="8">
        <v>5</v>
      </c>
    </row>
    <row r="103" spans="1:3" ht="20.25">
      <c r="A103" s="3" t="s">
        <v>95</v>
      </c>
      <c r="B103" s="4"/>
      <c r="C103" s="5">
        <f>C104+C105</f>
        <v>3</v>
      </c>
    </row>
    <row r="104" spans="1:3" ht="18.75">
      <c r="A104" s="6">
        <v>1</v>
      </c>
      <c r="B104" s="7" t="s">
        <v>96</v>
      </c>
      <c r="C104" s="8">
        <v>1</v>
      </c>
    </row>
    <row r="105" spans="1:3" ht="18.75">
      <c r="A105" s="6">
        <v>2</v>
      </c>
      <c r="B105" s="7" t="s">
        <v>97</v>
      </c>
      <c r="C105" s="8">
        <v>2</v>
      </c>
    </row>
    <row r="106" spans="1:3" ht="20.25">
      <c r="A106" s="3" t="s">
        <v>98</v>
      </c>
      <c r="B106" s="4"/>
      <c r="C106" s="5">
        <f>SUM(C107:C114)</f>
        <v>20</v>
      </c>
    </row>
    <row r="107" spans="1:3" ht="18.75">
      <c r="A107" s="6">
        <v>1</v>
      </c>
      <c r="B107" s="7" t="s">
        <v>44</v>
      </c>
      <c r="C107" s="8">
        <v>1</v>
      </c>
    </row>
    <row r="108" spans="1:3" ht="18.75">
      <c r="A108" s="6">
        <f>A107+1</f>
        <v>2</v>
      </c>
      <c r="B108" s="7" t="s">
        <v>99</v>
      </c>
      <c r="C108" s="8">
        <v>1</v>
      </c>
    </row>
    <row r="109" spans="1:3" ht="18.75">
      <c r="A109" s="6">
        <f t="shared" ref="A109:A114" si="6">A108+1</f>
        <v>3</v>
      </c>
      <c r="B109" s="7" t="s">
        <v>100</v>
      </c>
      <c r="C109" s="8">
        <v>1</v>
      </c>
    </row>
    <row r="110" spans="1:3" ht="18.75">
      <c r="A110" s="6">
        <f t="shared" si="6"/>
        <v>4</v>
      </c>
      <c r="B110" s="7" t="s">
        <v>101</v>
      </c>
      <c r="C110" s="8">
        <v>2</v>
      </c>
    </row>
    <row r="111" spans="1:3" ht="18.75">
      <c r="A111" s="6">
        <f t="shared" si="6"/>
        <v>5</v>
      </c>
      <c r="B111" s="7" t="s">
        <v>102</v>
      </c>
      <c r="C111" s="8">
        <v>1</v>
      </c>
    </row>
    <row r="112" spans="1:3" ht="18.75">
      <c r="A112" s="6">
        <f t="shared" si="6"/>
        <v>6</v>
      </c>
      <c r="B112" s="7" t="s">
        <v>103</v>
      </c>
      <c r="C112" s="8">
        <v>1</v>
      </c>
    </row>
    <row r="113" spans="1:3" ht="18.75">
      <c r="A113" s="6">
        <f t="shared" si="6"/>
        <v>7</v>
      </c>
      <c r="B113" s="7" t="s">
        <v>104</v>
      </c>
      <c r="C113" s="8">
        <v>1</v>
      </c>
    </row>
    <row r="114" spans="1:3" ht="18.75">
      <c r="A114" s="6">
        <f t="shared" si="6"/>
        <v>8</v>
      </c>
      <c r="B114" s="10" t="s">
        <v>42</v>
      </c>
      <c r="C114" s="8">
        <v>12</v>
      </c>
    </row>
    <row r="115" spans="1:3" ht="20.25">
      <c r="A115" s="3" t="s">
        <v>105</v>
      </c>
      <c r="B115" s="4"/>
      <c r="C115" s="5">
        <f>C116</f>
        <v>1</v>
      </c>
    </row>
    <row r="116" spans="1:3" ht="18.75">
      <c r="A116" s="6">
        <v>1</v>
      </c>
      <c r="B116" s="7" t="s">
        <v>12</v>
      </c>
      <c r="C116" s="8">
        <v>1</v>
      </c>
    </row>
    <row r="117" spans="1:3" ht="20.25">
      <c r="A117" s="3" t="s">
        <v>106</v>
      </c>
      <c r="B117" s="4"/>
      <c r="C117" s="5">
        <f>SUM(C118:C120)</f>
        <v>3</v>
      </c>
    </row>
    <row r="118" spans="1:3" ht="18.75">
      <c r="A118" s="6">
        <v>1</v>
      </c>
      <c r="B118" s="7" t="s">
        <v>18</v>
      </c>
      <c r="C118" s="8">
        <v>1</v>
      </c>
    </row>
    <row r="119" spans="1:3" ht="18.75">
      <c r="A119" s="6">
        <v>2</v>
      </c>
      <c r="B119" s="7" t="s">
        <v>107</v>
      </c>
      <c r="C119" s="8">
        <v>1</v>
      </c>
    </row>
    <row r="120" spans="1:3" ht="18.75">
      <c r="A120" s="6">
        <v>3</v>
      </c>
      <c r="B120" s="7" t="s">
        <v>108</v>
      </c>
      <c r="C120" s="8">
        <v>1</v>
      </c>
    </row>
    <row r="121" spans="1:3" ht="20.25">
      <c r="A121" s="3" t="s">
        <v>109</v>
      </c>
      <c r="B121" s="4"/>
      <c r="C121" s="5">
        <f>SUM(C122:C125)</f>
        <v>7</v>
      </c>
    </row>
    <row r="122" spans="1:3" ht="18.75">
      <c r="A122" s="6">
        <v>1</v>
      </c>
      <c r="B122" s="7" t="s">
        <v>18</v>
      </c>
      <c r="C122" s="8">
        <v>1</v>
      </c>
    </row>
    <row r="123" spans="1:3" ht="18.75">
      <c r="A123" s="6">
        <v>2</v>
      </c>
      <c r="B123" s="7" t="s">
        <v>110</v>
      </c>
      <c r="C123" s="8">
        <v>2</v>
      </c>
    </row>
    <row r="124" spans="1:3" ht="18.75">
      <c r="A124" s="6">
        <v>3</v>
      </c>
      <c r="B124" s="7" t="s">
        <v>111</v>
      </c>
      <c r="C124" s="8">
        <v>1</v>
      </c>
    </row>
    <row r="125" spans="1:3" ht="18.75">
      <c r="A125" s="6">
        <v>4</v>
      </c>
      <c r="B125" s="7" t="s">
        <v>112</v>
      </c>
      <c r="C125" s="8">
        <v>3</v>
      </c>
    </row>
    <row r="126" spans="1:3" ht="20.25">
      <c r="A126" s="3" t="s">
        <v>113</v>
      </c>
      <c r="B126" s="4"/>
      <c r="C126" s="5">
        <f>SUM(C127:C134)</f>
        <v>33</v>
      </c>
    </row>
    <row r="127" spans="1:3" ht="18.75">
      <c r="A127" s="6">
        <v>1</v>
      </c>
      <c r="B127" s="7" t="s">
        <v>18</v>
      </c>
      <c r="C127" s="8">
        <v>1</v>
      </c>
    </row>
    <row r="128" spans="1:3" ht="18.75">
      <c r="A128" s="6">
        <v>2</v>
      </c>
      <c r="B128" s="7" t="s">
        <v>114</v>
      </c>
      <c r="C128" s="8">
        <v>1</v>
      </c>
    </row>
    <row r="129" spans="1:3" ht="18.75">
      <c r="A129" s="6">
        <v>2</v>
      </c>
      <c r="B129" s="7" t="s">
        <v>115</v>
      </c>
      <c r="C129" s="8">
        <v>1</v>
      </c>
    </row>
    <row r="130" spans="1:3" ht="18.75">
      <c r="A130" s="6">
        <v>3</v>
      </c>
      <c r="B130" s="7" t="s">
        <v>116</v>
      </c>
      <c r="C130" s="8">
        <v>3</v>
      </c>
    </row>
    <row r="131" spans="1:3" ht="18.75">
      <c r="A131" s="6">
        <v>4</v>
      </c>
      <c r="B131" s="7" t="s">
        <v>117</v>
      </c>
      <c r="C131" s="8">
        <v>21</v>
      </c>
    </row>
    <row r="132" spans="1:3" ht="18.75">
      <c r="A132" s="6">
        <v>5</v>
      </c>
      <c r="B132" s="7" t="s">
        <v>118</v>
      </c>
      <c r="C132" s="8">
        <v>1</v>
      </c>
    </row>
    <row r="133" spans="1:3" ht="18.75">
      <c r="A133" s="6">
        <v>6</v>
      </c>
      <c r="B133" s="7" t="s">
        <v>119</v>
      </c>
      <c r="C133" s="8">
        <v>3</v>
      </c>
    </row>
    <row r="134" spans="1:3" ht="18.75">
      <c r="A134" s="6">
        <v>7</v>
      </c>
      <c r="B134" s="7" t="s">
        <v>120</v>
      </c>
      <c r="C134" s="8">
        <v>2</v>
      </c>
    </row>
    <row r="135" spans="1:3" ht="20.25">
      <c r="A135" s="12" t="s">
        <v>121</v>
      </c>
      <c r="B135" s="13"/>
      <c r="C135" s="5">
        <f>SUM(C136:C140)</f>
        <v>8</v>
      </c>
    </row>
    <row r="136" spans="1:3" ht="18.75">
      <c r="A136" s="6">
        <v>1</v>
      </c>
      <c r="B136" s="7" t="s">
        <v>18</v>
      </c>
      <c r="C136" s="8">
        <v>1</v>
      </c>
    </row>
    <row r="137" spans="1:3" ht="18.75">
      <c r="A137" s="6">
        <f>A136+1</f>
        <v>2</v>
      </c>
      <c r="B137" s="7" t="s">
        <v>122</v>
      </c>
      <c r="C137" s="8">
        <v>2</v>
      </c>
    </row>
    <row r="138" spans="1:3" ht="18.75">
      <c r="A138" s="6">
        <f>A137+1</f>
        <v>3</v>
      </c>
      <c r="B138" s="7" t="s">
        <v>123</v>
      </c>
      <c r="C138" s="8">
        <v>1</v>
      </c>
    </row>
    <row r="139" spans="1:3" ht="18.75">
      <c r="A139" s="6">
        <f t="shared" ref="A139:A140" si="7">A138+1</f>
        <v>4</v>
      </c>
      <c r="B139" s="7" t="s">
        <v>124</v>
      </c>
      <c r="C139" s="8">
        <v>3</v>
      </c>
    </row>
    <row r="140" spans="1:3" ht="18.75">
      <c r="A140" s="6">
        <f t="shared" si="7"/>
        <v>5</v>
      </c>
      <c r="B140" s="7" t="s">
        <v>125</v>
      </c>
      <c r="C140" s="8">
        <v>1</v>
      </c>
    </row>
    <row r="141" spans="1:3" ht="20.25">
      <c r="A141" s="3" t="s">
        <v>126</v>
      </c>
      <c r="B141" s="4"/>
      <c r="C141" s="5">
        <f>SUM(C142:C144)</f>
        <v>13</v>
      </c>
    </row>
    <row r="142" spans="1:3" ht="18.75">
      <c r="A142" s="6">
        <v>1</v>
      </c>
      <c r="B142" s="7" t="s">
        <v>18</v>
      </c>
      <c r="C142" s="8">
        <v>1</v>
      </c>
    </row>
    <row r="143" spans="1:3" ht="18.75">
      <c r="A143" s="6">
        <f>A142+1</f>
        <v>2</v>
      </c>
      <c r="B143" s="7" t="s">
        <v>116</v>
      </c>
      <c r="C143" s="8">
        <v>3</v>
      </c>
    </row>
    <row r="144" spans="1:3" ht="18.75">
      <c r="A144" s="6">
        <f>A143+1</f>
        <v>3</v>
      </c>
      <c r="B144" s="7" t="s">
        <v>117</v>
      </c>
      <c r="C144" s="8">
        <v>9</v>
      </c>
    </row>
    <row r="145" spans="1:3" ht="20.25">
      <c r="A145" s="3" t="s">
        <v>127</v>
      </c>
      <c r="B145" s="4"/>
      <c r="C145" s="5">
        <f>SUM(C146:C148)</f>
        <v>13</v>
      </c>
    </row>
    <row r="146" spans="1:3" ht="18.75">
      <c r="A146" s="6">
        <v>1</v>
      </c>
      <c r="B146" s="7" t="s">
        <v>18</v>
      </c>
      <c r="C146" s="8">
        <v>1</v>
      </c>
    </row>
    <row r="147" spans="1:3" ht="18.75">
      <c r="A147" s="6">
        <f>A146+1</f>
        <v>2</v>
      </c>
      <c r="B147" s="7" t="s">
        <v>116</v>
      </c>
      <c r="C147" s="8">
        <v>1</v>
      </c>
    </row>
    <row r="148" spans="1:3" ht="18.75">
      <c r="A148" s="6">
        <v>3</v>
      </c>
      <c r="B148" s="7" t="s">
        <v>128</v>
      </c>
      <c r="C148" s="8">
        <v>11</v>
      </c>
    </row>
    <row r="149" spans="1:3" ht="20.25">
      <c r="A149" s="3" t="s">
        <v>129</v>
      </c>
      <c r="B149" s="4"/>
      <c r="C149" s="5">
        <f>SUM(C150:C151)</f>
        <v>2</v>
      </c>
    </row>
    <row r="150" spans="1:3" ht="18.75">
      <c r="A150" s="6">
        <f>A388+1</f>
        <v>1</v>
      </c>
      <c r="B150" s="7" t="s">
        <v>12</v>
      </c>
      <c r="C150" s="8">
        <v>1</v>
      </c>
    </row>
    <row r="151" spans="1:3" ht="18.75">
      <c r="A151" s="6">
        <v>2</v>
      </c>
      <c r="B151" s="7" t="s">
        <v>130</v>
      </c>
      <c r="C151" s="8">
        <v>1</v>
      </c>
    </row>
    <row r="152" spans="1:3" ht="20.25">
      <c r="A152" s="3" t="s">
        <v>131</v>
      </c>
      <c r="B152" s="4"/>
      <c r="C152" s="5">
        <f>SUM(C153:C163)</f>
        <v>45</v>
      </c>
    </row>
    <row r="153" spans="1:3" ht="18.75">
      <c r="A153" s="6">
        <v>1</v>
      </c>
      <c r="B153" s="7" t="s">
        <v>27</v>
      </c>
      <c r="C153" s="8">
        <v>1</v>
      </c>
    </row>
    <row r="154" spans="1:3" ht="18.75">
      <c r="A154" s="6">
        <f>A153+1</f>
        <v>2</v>
      </c>
      <c r="B154" s="7" t="s">
        <v>132</v>
      </c>
      <c r="C154" s="8">
        <v>3</v>
      </c>
    </row>
    <row r="155" spans="1:3" ht="18.75">
      <c r="A155" s="6">
        <f t="shared" ref="A155:A163" si="8">A154+1</f>
        <v>3</v>
      </c>
      <c r="B155" s="7" t="s">
        <v>133</v>
      </c>
      <c r="C155" s="8">
        <v>1</v>
      </c>
    </row>
    <row r="156" spans="1:3" ht="18.75">
      <c r="A156" s="6">
        <f t="shared" si="8"/>
        <v>4</v>
      </c>
      <c r="B156" s="7" t="s">
        <v>134</v>
      </c>
      <c r="C156" s="8">
        <v>1</v>
      </c>
    </row>
    <row r="157" spans="1:3" ht="18.75">
      <c r="A157" s="6">
        <f t="shared" si="8"/>
        <v>5</v>
      </c>
      <c r="B157" s="7" t="s">
        <v>135</v>
      </c>
      <c r="C157" s="8">
        <v>3</v>
      </c>
    </row>
    <row r="158" spans="1:3" ht="18.75">
      <c r="A158" s="6">
        <f t="shared" si="8"/>
        <v>6</v>
      </c>
      <c r="B158" s="7" t="s">
        <v>136</v>
      </c>
      <c r="C158" s="8">
        <v>6</v>
      </c>
    </row>
    <row r="159" spans="1:3" ht="18.75">
      <c r="A159" s="6">
        <f t="shared" si="8"/>
        <v>7</v>
      </c>
      <c r="B159" s="7" t="s">
        <v>137</v>
      </c>
      <c r="C159" s="8">
        <v>3</v>
      </c>
    </row>
    <row r="160" spans="1:3" ht="18.75">
      <c r="A160" s="6">
        <f t="shared" si="8"/>
        <v>8</v>
      </c>
      <c r="B160" s="7" t="s">
        <v>138</v>
      </c>
      <c r="C160" s="8">
        <v>3</v>
      </c>
    </row>
    <row r="161" spans="1:3" ht="18.75">
      <c r="A161" s="6">
        <f t="shared" si="8"/>
        <v>9</v>
      </c>
      <c r="B161" s="7" t="s">
        <v>139</v>
      </c>
      <c r="C161" s="8">
        <v>13</v>
      </c>
    </row>
    <row r="162" spans="1:3" ht="18.75">
      <c r="A162" s="6">
        <f t="shared" si="8"/>
        <v>10</v>
      </c>
      <c r="B162" s="7" t="s">
        <v>42</v>
      </c>
      <c r="C162" s="8">
        <v>9</v>
      </c>
    </row>
    <row r="163" spans="1:3" ht="18.75">
      <c r="A163" s="6">
        <f t="shared" si="8"/>
        <v>11</v>
      </c>
      <c r="B163" s="7" t="s">
        <v>140</v>
      </c>
      <c r="C163" s="8">
        <v>2</v>
      </c>
    </row>
    <row r="164" spans="1:3" ht="20.25">
      <c r="A164" s="3" t="s">
        <v>141</v>
      </c>
      <c r="B164" s="4"/>
      <c r="C164" s="5">
        <f>C165+C166+C167</f>
        <v>31</v>
      </c>
    </row>
    <row r="165" spans="1:3" ht="18.75">
      <c r="A165" s="6">
        <v>1</v>
      </c>
      <c r="B165" s="7" t="s">
        <v>18</v>
      </c>
      <c r="C165" s="8">
        <v>1</v>
      </c>
    </row>
    <row r="166" spans="1:3" ht="18.75">
      <c r="A166" s="6">
        <f>A165+1</f>
        <v>2</v>
      </c>
      <c r="B166" s="7" t="s">
        <v>116</v>
      </c>
      <c r="C166" s="8">
        <v>3</v>
      </c>
    </row>
    <row r="167" spans="1:3" ht="18.75">
      <c r="A167" s="6">
        <f>A166+1</f>
        <v>3</v>
      </c>
      <c r="B167" s="10" t="s">
        <v>42</v>
      </c>
      <c r="C167" s="8">
        <v>27</v>
      </c>
    </row>
    <row r="168" spans="1:3" ht="20.25">
      <c r="A168" s="3" t="s">
        <v>142</v>
      </c>
      <c r="B168" s="4"/>
      <c r="C168" s="5">
        <f>SUM(C169:C172)</f>
        <v>31</v>
      </c>
    </row>
    <row r="169" spans="1:3" ht="18.75">
      <c r="A169" s="6">
        <v>1</v>
      </c>
      <c r="B169" s="7" t="s">
        <v>143</v>
      </c>
      <c r="C169" s="8">
        <v>1</v>
      </c>
    </row>
    <row r="170" spans="1:3" ht="18.75">
      <c r="A170" s="6">
        <f>A169+1</f>
        <v>2</v>
      </c>
      <c r="B170" s="7" t="s">
        <v>144</v>
      </c>
      <c r="C170" s="8">
        <v>3</v>
      </c>
    </row>
    <row r="171" spans="1:3" ht="18.75">
      <c r="A171" s="6">
        <f>A170+1</f>
        <v>3</v>
      </c>
      <c r="B171" s="7" t="s">
        <v>32</v>
      </c>
      <c r="C171" s="8">
        <v>6</v>
      </c>
    </row>
    <row r="172" spans="1:3" ht="18.75">
      <c r="A172" s="6">
        <f>A171+1</f>
        <v>4</v>
      </c>
      <c r="B172" s="10" t="s">
        <v>42</v>
      </c>
      <c r="C172" s="8">
        <v>21</v>
      </c>
    </row>
    <row r="173" spans="1:3" ht="20.25">
      <c r="A173" s="14" t="s">
        <v>145</v>
      </c>
      <c r="B173" s="4"/>
      <c r="C173" s="5">
        <f>C174+C175</f>
        <v>4</v>
      </c>
    </row>
    <row r="174" spans="1:3" ht="18.75">
      <c r="A174" s="6">
        <v>1</v>
      </c>
      <c r="B174" s="7" t="s">
        <v>18</v>
      </c>
      <c r="C174" s="8">
        <v>1</v>
      </c>
    </row>
    <row r="175" spans="1:3" ht="18.75">
      <c r="A175" s="6">
        <v>2</v>
      </c>
      <c r="B175" s="7" t="s">
        <v>32</v>
      </c>
      <c r="C175" s="8">
        <v>3</v>
      </c>
    </row>
    <row r="176" spans="1:3" ht="20.25">
      <c r="A176" s="14" t="s">
        <v>146</v>
      </c>
      <c r="B176" s="4"/>
      <c r="C176" s="5">
        <f>C177+C178</f>
        <v>10</v>
      </c>
    </row>
    <row r="177" spans="1:3" ht="18.75">
      <c r="A177" s="6">
        <v>1</v>
      </c>
      <c r="B177" s="7" t="s">
        <v>41</v>
      </c>
      <c r="C177" s="8">
        <v>1</v>
      </c>
    </row>
    <row r="178" spans="1:3" ht="18.75">
      <c r="A178" s="6">
        <f>A177+1</f>
        <v>2</v>
      </c>
      <c r="B178" s="7" t="s">
        <v>75</v>
      </c>
      <c r="C178" s="8">
        <v>9</v>
      </c>
    </row>
    <row r="179" spans="1:3" ht="20.25">
      <c r="A179" s="3" t="s">
        <v>147</v>
      </c>
      <c r="B179" s="4"/>
      <c r="C179" s="5">
        <f>SUM(C180:C190)</f>
        <v>51</v>
      </c>
    </row>
    <row r="180" spans="1:3" ht="18.75">
      <c r="A180" s="6">
        <v>1</v>
      </c>
      <c r="B180" s="10" t="s">
        <v>148</v>
      </c>
      <c r="C180" s="8">
        <v>1</v>
      </c>
    </row>
    <row r="181" spans="1:3" ht="18.75">
      <c r="A181" s="6">
        <f>A180+1</f>
        <v>2</v>
      </c>
      <c r="B181" s="10" t="s">
        <v>149</v>
      </c>
      <c r="C181" s="8">
        <v>1</v>
      </c>
    </row>
    <row r="182" spans="1:3" ht="18.75">
      <c r="A182" s="6">
        <f t="shared" ref="A182:A190" si="9">A181+1</f>
        <v>3</v>
      </c>
      <c r="B182" s="7" t="s">
        <v>150</v>
      </c>
      <c r="C182" s="8">
        <v>1</v>
      </c>
    </row>
    <row r="183" spans="1:3" ht="18.75">
      <c r="A183" s="6">
        <f t="shared" si="9"/>
        <v>4</v>
      </c>
      <c r="B183" s="7" t="s">
        <v>151</v>
      </c>
      <c r="C183" s="8">
        <v>1</v>
      </c>
    </row>
    <row r="184" spans="1:3" ht="18.75">
      <c r="A184" s="6">
        <f t="shared" si="9"/>
        <v>5</v>
      </c>
      <c r="B184" s="7" t="s">
        <v>152</v>
      </c>
      <c r="C184" s="8">
        <v>1</v>
      </c>
    </row>
    <row r="185" spans="1:3" ht="18.75">
      <c r="A185" s="6">
        <f t="shared" si="9"/>
        <v>6</v>
      </c>
      <c r="B185" s="10" t="s">
        <v>153</v>
      </c>
      <c r="C185" s="8">
        <v>4</v>
      </c>
    </row>
    <row r="186" spans="1:3" ht="18.75">
      <c r="A186" s="6">
        <f t="shared" si="9"/>
        <v>7</v>
      </c>
      <c r="B186" s="10" t="s">
        <v>154</v>
      </c>
      <c r="C186" s="8">
        <v>15</v>
      </c>
    </row>
    <row r="187" spans="1:3" ht="18.75">
      <c r="A187" s="6">
        <f t="shared" si="9"/>
        <v>8</v>
      </c>
      <c r="B187" s="15" t="s">
        <v>155</v>
      </c>
      <c r="C187" s="8">
        <v>12</v>
      </c>
    </row>
    <row r="188" spans="1:3" ht="18.75">
      <c r="A188" s="6">
        <f t="shared" si="9"/>
        <v>9</v>
      </c>
      <c r="B188" s="7" t="s">
        <v>156</v>
      </c>
      <c r="C188" s="8">
        <v>9</v>
      </c>
    </row>
    <row r="189" spans="1:3" ht="18.75">
      <c r="A189" s="6">
        <f t="shared" si="9"/>
        <v>10</v>
      </c>
      <c r="B189" s="10" t="s">
        <v>157</v>
      </c>
      <c r="C189" s="8">
        <v>3</v>
      </c>
    </row>
    <row r="190" spans="1:3" ht="18.75">
      <c r="A190" s="6">
        <f t="shared" si="9"/>
        <v>11</v>
      </c>
      <c r="B190" s="10" t="s">
        <v>158</v>
      </c>
      <c r="C190" s="8">
        <v>3</v>
      </c>
    </row>
    <row r="191" spans="1:3" ht="20.25">
      <c r="A191" s="3" t="s">
        <v>159</v>
      </c>
      <c r="B191" s="4"/>
      <c r="C191" s="5">
        <f>C192+C193</f>
        <v>8</v>
      </c>
    </row>
    <row r="192" spans="1:3" ht="18.75">
      <c r="A192" s="6">
        <v>1</v>
      </c>
      <c r="B192" s="7" t="s">
        <v>27</v>
      </c>
      <c r="C192" s="8">
        <v>1</v>
      </c>
    </row>
    <row r="193" spans="1:3" ht="18.75">
      <c r="A193" s="6">
        <v>2</v>
      </c>
      <c r="B193" s="7" t="s">
        <v>160</v>
      </c>
      <c r="C193" s="8">
        <v>7</v>
      </c>
    </row>
    <row r="194" spans="1:3" ht="20.25">
      <c r="A194" s="3" t="s">
        <v>161</v>
      </c>
      <c r="B194" s="4"/>
      <c r="C194" s="5">
        <f>SUM(C195:C199)</f>
        <v>8</v>
      </c>
    </row>
    <row r="195" spans="1:3" ht="18.75">
      <c r="A195" s="6">
        <v>1</v>
      </c>
      <c r="B195" s="10" t="s">
        <v>12</v>
      </c>
      <c r="C195" s="8">
        <v>1</v>
      </c>
    </row>
    <row r="196" spans="1:3" ht="18.75">
      <c r="A196" s="6">
        <v>2</v>
      </c>
      <c r="B196" s="7" t="s">
        <v>162</v>
      </c>
      <c r="C196" s="8">
        <v>1</v>
      </c>
    </row>
    <row r="197" spans="1:3" ht="18.75">
      <c r="A197" s="6">
        <v>3</v>
      </c>
      <c r="B197" s="10" t="s">
        <v>163</v>
      </c>
      <c r="C197" s="8">
        <v>3</v>
      </c>
    </row>
    <row r="198" spans="1:3" ht="18.75">
      <c r="A198" s="6">
        <v>4</v>
      </c>
      <c r="B198" s="10" t="s">
        <v>164</v>
      </c>
      <c r="C198" s="8">
        <v>1</v>
      </c>
    </row>
    <row r="199" spans="1:3" ht="18.75">
      <c r="A199" s="6">
        <v>5</v>
      </c>
      <c r="B199" s="10" t="s">
        <v>165</v>
      </c>
      <c r="C199" s="8">
        <v>2</v>
      </c>
    </row>
    <row r="200" spans="1:3" ht="20.25">
      <c r="A200" s="3" t="s">
        <v>166</v>
      </c>
      <c r="B200" s="4"/>
      <c r="C200" s="5">
        <f>C201</f>
        <v>1</v>
      </c>
    </row>
    <row r="201" spans="1:3" ht="18.75">
      <c r="A201" s="6">
        <v>1</v>
      </c>
      <c r="B201" s="7" t="s">
        <v>167</v>
      </c>
      <c r="C201" s="8">
        <v>1</v>
      </c>
    </row>
    <row r="202" spans="1:3" ht="20.25">
      <c r="A202" s="3" t="s">
        <v>168</v>
      </c>
      <c r="B202" s="4"/>
      <c r="C202" s="5">
        <f>SUM(C203:C211)</f>
        <v>33</v>
      </c>
    </row>
    <row r="203" spans="1:3" ht="18.75">
      <c r="A203" s="6">
        <f>A201+1</f>
        <v>2</v>
      </c>
      <c r="B203" s="7" t="s">
        <v>169</v>
      </c>
      <c r="C203" s="8">
        <v>1</v>
      </c>
    </row>
    <row r="204" spans="1:3" ht="18.75">
      <c r="A204" s="6">
        <f>A203+1</f>
        <v>3</v>
      </c>
      <c r="B204" s="10" t="s">
        <v>41</v>
      </c>
      <c r="C204" s="8">
        <v>1</v>
      </c>
    </row>
    <row r="205" spans="1:3" ht="18.75">
      <c r="A205" s="6">
        <f t="shared" ref="A205:A211" si="10">A204+1</f>
        <v>4</v>
      </c>
      <c r="B205" s="7" t="s">
        <v>149</v>
      </c>
      <c r="C205" s="8">
        <v>10</v>
      </c>
    </row>
    <row r="206" spans="1:3" ht="18.75">
      <c r="A206" s="6">
        <f t="shared" si="10"/>
        <v>5</v>
      </c>
      <c r="B206" s="7" t="s">
        <v>170</v>
      </c>
      <c r="C206" s="8">
        <v>1</v>
      </c>
    </row>
    <row r="207" spans="1:3" ht="18.75">
      <c r="A207" s="6">
        <f t="shared" si="10"/>
        <v>6</v>
      </c>
      <c r="B207" s="7" t="s">
        <v>171</v>
      </c>
      <c r="C207" s="8">
        <v>1</v>
      </c>
    </row>
    <row r="208" spans="1:3" ht="18.75">
      <c r="A208" s="6">
        <f t="shared" si="10"/>
        <v>7</v>
      </c>
      <c r="B208" s="7" t="s">
        <v>116</v>
      </c>
      <c r="C208" s="8">
        <v>3</v>
      </c>
    </row>
    <row r="209" spans="1:3" ht="18.75">
      <c r="A209" s="6">
        <f t="shared" si="10"/>
        <v>8</v>
      </c>
      <c r="B209" s="7" t="s">
        <v>172</v>
      </c>
      <c r="C209" s="8">
        <v>12</v>
      </c>
    </row>
    <row r="210" spans="1:3" ht="18.75">
      <c r="A210" s="6">
        <f t="shared" si="10"/>
        <v>9</v>
      </c>
      <c r="B210" s="16" t="s">
        <v>173</v>
      </c>
      <c r="C210" s="8">
        <v>2</v>
      </c>
    </row>
    <row r="211" spans="1:3" ht="18.75">
      <c r="A211" s="6">
        <f t="shared" si="10"/>
        <v>10</v>
      </c>
      <c r="B211" s="7" t="s">
        <v>174</v>
      </c>
      <c r="C211" s="8">
        <v>2</v>
      </c>
    </row>
    <row r="212" spans="1:3" ht="20.25">
      <c r="A212" s="3" t="s">
        <v>175</v>
      </c>
      <c r="B212" s="4"/>
      <c r="C212" s="5">
        <f>SUM(C213:C220)</f>
        <v>26</v>
      </c>
    </row>
    <row r="213" spans="1:3" ht="18.75">
      <c r="A213" s="6">
        <v>1</v>
      </c>
      <c r="B213" s="7" t="s">
        <v>18</v>
      </c>
      <c r="C213" s="8">
        <v>1</v>
      </c>
    </row>
    <row r="214" spans="1:3" ht="18.75">
      <c r="A214" s="6">
        <f>A213+1</f>
        <v>2</v>
      </c>
      <c r="B214" s="7" t="s">
        <v>170</v>
      </c>
      <c r="C214" s="8">
        <v>1</v>
      </c>
    </row>
    <row r="215" spans="1:3" ht="18.75">
      <c r="A215" s="6">
        <f t="shared" ref="A215:A220" si="11">A214+1</f>
        <v>3</v>
      </c>
      <c r="B215" s="7" t="s">
        <v>101</v>
      </c>
      <c r="C215" s="8">
        <v>1</v>
      </c>
    </row>
    <row r="216" spans="1:3" ht="18.75">
      <c r="A216" s="6">
        <f t="shared" si="11"/>
        <v>4</v>
      </c>
      <c r="B216" s="7" t="s">
        <v>176</v>
      </c>
      <c r="C216" s="8">
        <v>3</v>
      </c>
    </row>
    <row r="217" spans="1:3" ht="18.75">
      <c r="A217" s="6">
        <f t="shared" si="11"/>
        <v>5</v>
      </c>
      <c r="B217" s="7" t="s">
        <v>177</v>
      </c>
      <c r="C217" s="8">
        <v>1</v>
      </c>
    </row>
    <row r="218" spans="1:3" ht="18.75">
      <c r="A218" s="6">
        <f>A216+1</f>
        <v>5</v>
      </c>
      <c r="B218" s="7" t="s">
        <v>174</v>
      </c>
      <c r="C218" s="8">
        <v>1</v>
      </c>
    </row>
    <row r="219" spans="1:3" ht="18.75">
      <c r="A219" s="6">
        <f t="shared" si="11"/>
        <v>6</v>
      </c>
      <c r="B219" s="7" t="s">
        <v>172</v>
      </c>
      <c r="C219" s="8">
        <v>9</v>
      </c>
    </row>
    <row r="220" spans="1:3" ht="18.75">
      <c r="A220" s="6">
        <f t="shared" si="11"/>
        <v>7</v>
      </c>
      <c r="B220" s="7" t="s">
        <v>149</v>
      </c>
      <c r="C220" s="8">
        <v>9</v>
      </c>
    </row>
    <row r="221" spans="1:3" ht="20.25">
      <c r="A221" s="3" t="s">
        <v>178</v>
      </c>
      <c r="B221" s="4"/>
      <c r="C221" s="5">
        <f>C222+C223+C224</f>
        <v>4</v>
      </c>
    </row>
    <row r="222" spans="1:3" ht="18.75">
      <c r="A222" s="6">
        <v>1</v>
      </c>
      <c r="B222" s="7" t="s">
        <v>179</v>
      </c>
      <c r="C222" s="8">
        <v>1</v>
      </c>
    </row>
    <row r="223" spans="1:3" ht="18.75">
      <c r="A223" s="6">
        <v>2</v>
      </c>
      <c r="B223" s="7" t="s">
        <v>130</v>
      </c>
      <c r="C223" s="8">
        <v>2</v>
      </c>
    </row>
    <row r="224" spans="1:3" ht="18.75">
      <c r="A224" s="6">
        <v>3</v>
      </c>
      <c r="B224" s="7" t="s">
        <v>79</v>
      </c>
      <c r="C224" s="8">
        <v>1</v>
      </c>
    </row>
    <row r="225" spans="1:3" ht="20.25">
      <c r="A225" s="3" t="s">
        <v>180</v>
      </c>
      <c r="B225" s="4"/>
      <c r="C225" s="5">
        <f>C226+C227+C228+C229</f>
        <v>6</v>
      </c>
    </row>
    <row r="226" spans="1:3" ht="18.75">
      <c r="A226" s="6">
        <v>1</v>
      </c>
      <c r="B226" s="7" t="s">
        <v>18</v>
      </c>
      <c r="C226" s="8">
        <v>1</v>
      </c>
    </row>
    <row r="227" spans="1:3" ht="18.75">
      <c r="A227" s="6">
        <f>A226+1</f>
        <v>2</v>
      </c>
      <c r="B227" s="7" t="s">
        <v>181</v>
      </c>
      <c r="C227" s="8">
        <v>1</v>
      </c>
    </row>
    <row r="228" spans="1:3" ht="18.75">
      <c r="A228" s="6">
        <f>A227+1</f>
        <v>3</v>
      </c>
      <c r="B228" s="7" t="s">
        <v>182</v>
      </c>
      <c r="C228" s="8">
        <v>3</v>
      </c>
    </row>
    <row r="229" spans="1:3" ht="18.75">
      <c r="A229" s="6">
        <f>A228+1</f>
        <v>4</v>
      </c>
      <c r="B229" s="10" t="s">
        <v>183</v>
      </c>
      <c r="C229" s="8">
        <v>1</v>
      </c>
    </row>
    <row r="230" spans="1:3" ht="20.25">
      <c r="A230" s="3" t="s">
        <v>184</v>
      </c>
      <c r="B230" s="4"/>
      <c r="C230" s="5">
        <f>SUM(C231:C237)</f>
        <v>10</v>
      </c>
    </row>
    <row r="231" spans="1:3" ht="18.75">
      <c r="A231" s="6">
        <v>1</v>
      </c>
      <c r="B231" s="7" t="s">
        <v>185</v>
      </c>
      <c r="C231" s="8">
        <v>1</v>
      </c>
    </row>
    <row r="232" spans="1:3" ht="18.75">
      <c r="A232" s="6">
        <f>A231+1</f>
        <v>2</v>
      </c>
      <c r="B232" s="7" t="s">
        <v>186</v>
      </c>
      <c r="C232" s="8">
        <v>0</v>
      </c>
    </row>
    <row r="233" spans="1:3" ht="18.75">
      <c r="A233" s="6">
        <f>A232+1</f>
        <v>3</v>
      </c>
      <c r="B233" s="7" t="s">
        <v>187</v>
      </c>
      <c r="C233" s="8">
        <v>1</v>
      </c>
    </row>
    <row r="234" spans="1:3" ht="18.75">
      <c r="A234" s="6">
        <f>A233+1</f>
        <v>4</v>
      </c>
      <c r="B234" s="7" t="s">
        <v>188</v>
      </c>
      <c r="C234" s="8">
        <v>1</v>
      </c>
    </row>
    <row r="235" spans="1:3" ht="18.75">
      <c r="A235" s="6">
        <f t="shared" ref="A235:A237" si="12">A234+1</f>
        <v>5</v>
      </c>
      <c r="B235" s="7" t="s">
        <v>189</v>
      </c>
      <c r="C235" s="8">
        <v>1</v>
      </c>
    </row>
    <row r="236" spans="1:3" ht="18.75">
      <c r="A236" s="6">
        <f t="shared" si="12"/>
        <v>6</v>
      </c>
      <c r="B236" s="7" t="s">
        <v>144</v>
      </c>
      <c r="C236" s="8">
        <v>3</v>
      </c>
    </row>
    <row r="237" spans="1:3" ht="18.75">
      <c r="A237" s="6">
        <f t="shared" si="12"/>
        <v>7</v>
      </c>
      <c r="B237" s="7" t="s">
        <v>190</v>
      </c>
      <c r="C237" s="8">
        <v>3</v>
      </c>
    </row>
    <row r="238" spans="1:3" ht="20.25">
      <c r="A238" s="3" t="s">
        <v>191</v>
      </c>
      <c r="B238" s="4"/>
      <c r="C238" s="5">
        <f>SUM(C239:C242)</f>
        <v>45</v>
      </c>
    </row>
    <row r="239" spans="1:3" ht="18.75">
      <c r="A239" s="6">
        <v>1</v>
      </c>
      <c r="B239" s="7" t="s">
        <v>192</v>
      </c>
      <c r="C239" s="8">
        <v>3</v>
      </c>
    </row>
    <row r="240" spans="1:3" ht="18.75">
      <c r="A240" s="6">
        <f>A239+1</f>
        <v>2</v>
      </c>
      <c r="B240" s="7" t="s">
        <v>193</v>
      </c>
      <c r="C240" s="8">
        <v>18</v>
      </c>
    </row>
    <row r="241" spans="1:3" ht="18.75">
      <c r="A241" s="6">
        <f t="shared" ref="A241:A242" si="13">A240+1</f>
        <v>3</v>
      </c>
      <c r="B241" s="7" t="s">
        <v>194</v>
      </c>
      <c r="C241" s="8">
        <v>21</v>
      </c>
    </row>
    <row r="242" spans="1:3" ht="18.75">
      <c r="A242" s="6">
        <f t="shared" si="13"/>
        <v>4</v>
      </c>
      <c r="B242" s="7" t="s">
        <v>195</v>
      </c>
      <c r="C242" s="8">
        <v>3</v>
      </c>
    </row>
    <row r="243" spans="1:3" ht="20.25">
      <c r="A243" s="3" t="s">
        <v>196</v>
      </c>
      <c r="B243" s="4"/>
      <c r="C243" s="5">
        <f>SUM(C244:C248)</f>
        <v>39</v>
      </c>
    </row>
    <row r="244" spans="1:3" ht="18.75">
      <c r="A244" s="6">
        <v>1</v>
      </c>
      <c r="B244" s="7" t="s">
        <v>116</v>
      </c>
      <c r="C244" s="8">
        <v>3</v>
      </c>
    </row>
    <row r="245" spans="1:3" ht="18.75">
      <c r="A245" s="6">
        <f>A244+1</f>
        <v>2</v>
      </c>
      <c r="B245" s="7" t="s">
        <v>193</v>
      </c>
      <c r="C245" s="8">
        <v>12</v>
      </c>
    </row>
    <row r="246" spans="1:3" ht="18.75">
      <c r="A246" s="6">
        <f t="shared" ref="A246:A248" si="14">A245+1</f>
        <v>3</v>
      </c>
      <c r="B246" s="7" t="s">
        <v>197</v>
      </c>
      <c r="C246" s="8">
        <v>9</v>
      </c>
    </row>
    <row r="247" spans="1:3" ht="18.75">
      <c r="A247" s="6">
        <f t="shared" si="14"/>
        <v>4</v>
      </c>
      <c r="B247" s="7" t="s">
        <v>194</v>
      </c>
      <c r="C247" s="8">
        <v>12</v>
      </c>
    </row>
    <row r="248" spans="1:3" ht="18.75">
      <c r="A248" s="6">
        <f t="shared" si="14"/>
        <v>5</v>
      </c>
      <c r="B248" s="7" t="s">
        <v>195</v>
      </c>
      <c r="C248" s="8">
        <v>3</v>
      </c>
    </row>
    <row r="249" spans="1:3" ht="20.25">
      <c r="A249" s="3" t="s">
        <v>198</v>
      </c>
      <c r="B249" s="4"/>
      <c r="C249" s="5">
        <f>SUM(C250:C253)</f>
        <v>51</v>
      </c>
    </row>
    <row r="250" spans="1:3" ht="18.75">
      <c r="A250" s="6">
        <v>1</v>
      </c>
      <c r="B250" s="7" t="s">
        <v>199</v>
      </c>
      <c r="C250" s="8">
        <v>3</v>
      </c>
    </row>
    <row r="251" spans="1:3" ht="18.75">
      <c r="A251" s="6">
        <f>A250+1</f>
        <v>2</v>
      </c>
      <c r="B251" s="7" t="s">
        <v>200</v>
      </c>
      <c r="C251" s="8">
        <v>6</v>
      </c>
    </row>
    <row r="252" spans="1:3" ht="18.75">
      <c r="A252" s="6">
        <f t="shared" ref="A252:A253" si="15">A251+1</f>
        <v>3</v>
      </c>
      <c r="B252" s="7" t="s">
        <v>194</v>
      </c>
      <c r="C252" s="8">
        <v>39</v>
      </c>
    </row>
    <row r="253" spans="1:3" ht="18.75">
      <c r="A253" s="6">
        <f t="shared" si="15"/>
        <v>4</v>
      </c>
      <c r="B253" s="7" t="s">
        <v>195</v>
      </c>
      <c r="C253" s="8">
        <v>3</v>
      </c>
    </row>
    <row r="254" spans="1:3" ht="20.25">
      <c r="A254" s="3" t="s">
        <v>201</v>
      </c>
      <c r="B254" s="4"/>
      <c r="C254" s="5">
        <f>SUM(C255:C257)</f>
        <v>13</v>
      </c>
    </row>
    <row r="255" spans="1:3" ht="18.75">
      <c r="A255" s="6">
        <v>1</v>
      </c>
      <c r="B255" s="7" t="s">
        <v>116</v>
      </c>
      <c r="C255" s="8">
        <v>1</v>
      </c>
    </row>
    <row r="256" spans="1:3" ht="18.75">
      <c r="A256" s="6">
        <v>2</v>
      </c>
      <c r="B256" s="7" t="s">
        <v>202</v>
      </c>
      <c r="C256" s="8">
        <v>3</v>
      </c>
    </row>
    <row r="257" spans="1:3" ht="18.75">
      <c r="A257" s="6">
        <v>3</v>
      </c>
      <c r="B257" s="17" t="s">
        <v>203</v>
      </c>
      <c r="C257" s="8">
        <v>9</v>
      </c>
    </row>
    <row r="258" spans="1:3" ht="20.25">
      <c r="A258" s="3" t="s">
        <v>204</v>
      </c>
      <c r="B258" s="4"/>
      <c r="C258" s="5">
        <f>SUM(C259:C262)</f>
        <v>28</v>
      </c>
    </row>
    <row r="259" spans="1:3" ht="18.75">
      <c r="A259" s="6">
        <v>1</v>
      </c>
      <c r="B259" s="7" t="s">
        <v>116</v>
      </c>
      <c r="C259" s="8">
        <v>2</v>
      </c>
    </row>
    <row r="260" spans="1:3" ht="18.75">
      <c r="A260" s="6">
        <f>A259+1</f>
        <v>2</v>
      </c>
      <c r="B260" s="7" t="s">
        <v>193</v>
      </c>
      <c r="C260" s="8">
        <v>4</v>
      </c>
    </row>
    <row r="261" spans="1:3" ht="18.75">
      <c r="A261" s="6">
        <f t="shared" ref="A261:A262" si="16">A260+1</f>
        <v>3</v>
      </c>
      <c r="B261" s="7" t="s">
        <v>194</v>
      </c>
      <c r="C261" s="8">
        <v>20</v>
      </c>
    </row>
    <row r="262" spans="1:3" ht="18.75">
      <c r="A262" s="6">
        <f t="shared" si="16"/>
        <v>4</v>
      </c>
      <c r="B262" s="7" t="s">
        <v>195</v>
      </c>
      <c r="C262" s="8">
        <v>2</v>
      </c>
    </row>
    <row r="263" spans="1:3" ht="20.25">
      <c r="A263" s="3" t="s">
        <v>205</v>
      </c>
      <c r="B263" s="4"/>
      <c r="C263" s="5">
        <f>SUM(C264:C267)</f>
        <v>44</v>
      </c>
    </row>
    <row r="264" spans="1:3" ht="18.75">
      <c r="A264" s="6">
        <v>1</v>
      </c>
      <c r="B264" s="7" t="s">
        <v>199</v>
      </c>
      <c r="C264" s="8">
        <v>2</v>
      </c>
    </row>
    <row r="265" spans="1:3" ht="18.75">
      <c r="A265" s="6">
        <f>A264+1</f>
        <v>2</v>
      </c>
      <c r="B265" s="7" t="s">
        <v>197</v>
      </c>
      <c r="C265" s="8">
        <v>34</v>
      </c>
    </row>
    <row r="266" spans="1:3" ht="18.75">
      <c r="A266" s="6">
        <f t="shared" ref="A266:A267" si="17">A265+1</f>
        <v>3</v>
      </c>
      <c r="B266" s="7" t="s">
        <v>206</v>
      </c>
      <c r="C266" s="8">
        <v>4</v>
      </c>
    </row>
    <row r="267" spans="1:3" ht="18.75">
      <c r="A267" s="6">
        <f t="shared" si="17"/>
        <v>4</v>
      </c>
      <c r="B267" s="7" t="s">
        <v>193</v>
      </c>
      <c r="C267" s="8">
        <v>4</v>
      </c>
    </row>
    <row r="268" spans="1:3" ht="20.25">
      <c r="A268" s="3" t="s">
        <v>207</v>
      </c>
      <c r="B268" s="4"/>
      <c r="C268" s="5">
        <f>SUM(C269:C271)</f>
        <v>72</v>
      </c>
    </row>
    <row r="269" spans="1:3" ht="18.75">
      <c r="A269" s="9">
        <v>1</v>
      </c>
      <c r="B269" s="7" t="s">
        <v>199</v>
      </c>
      <c r="C269" s="8">
        <v>3</v>
      </c>
    </row>
    <row r="270" spans="1:3" ht="18.75">
      <c r="A270" s="9">
        <f>A269+1</f>
        <v>2</v>
      </c>
      <c r="B270" s="7" t="s">
        <v>200</v>
      </c>
      <c r="C270" s="8">
        <v>30</v>
      </c>
    </row>
    <row r="271" spans="1:3" ht="18.75">
      <c r="A271" s="9">
        <f>A270+1</f>
        <v>3</v>
      </c>
      <c r="B271" s="7" t="s">
        <v>194</v>
      </c>
      <c r="C271" s="8">
        <v>39</v>
      </c>
    </row>
    <row r="272" spans="1:3" ht="20.25">
      <c r="A272" s="3" t="s">
        <v>208</v>
      </c>
      <c r="B272" s="4"/>
      <c r="C272" s="5">
        <f>SUM(C273:C274)</f>
        <v>2</v>
      </c>
    </row>
    <row r="273" spans="1:3" ht="18.75">
      <c r="A273" s="6">
        <v>1</v>
      </c>
      <c r="B273" s="7" t="s">
        <v>209</v>
      </c>
      <c r="C273" s="8">
        <v>1</v>
      </c>
    </row>
    <row r="274" spans="1:3" ht="18.75">
      <c r="A274" s="6">
        <f>A273+1</f>
        <v>2</v>
      </c>
      <c r="B274" s="7" t="s">
        <v>101</v>
      </c>
      <c r="C274" s="8">
        <v>1</v>
      </c>
    </row>
    <row r="275" spans="1:3" ht="20.25">
      <c r="A275" s="3" t="s">
        <v>210</v>
      </c>
      <c r="B275" s="18"/>
      <c r="C275" s="5">
        <f>SUM(C276:C278)</f>
        <v>84</v>
      </c>
    </row>
    <row r="276" spans="1:3" ht="18.75">
      <c r="A276" s="6">
        <v>1</v>
      </c>
      <c r="B276" s="7" t="s">
        <v>211</v>
      </c>
      <c r="C276" s="8">
        <v>2</v>
      </c>
    </row>
    <row r="277" spans="1:3" ht="18.75">
      <c r="A277" s="6">
        <f t="shared" ref="A277:A286" si="18">A276+1</f>
        <v>2</v>
      </c>
      <c r="B277" s="7" t="s">
        <v>212</v>
      </c>
      <c r="C277" s="8">
        <v>80</v>
      </c>
    </row>
    <row r="278" spans="1:3" ht="18.75">
      <c r="A278" s="6">
        <f t="shared" si="18"/>
        <v>3</v>
      </c>
      <c r="B278" s="7" t="s">
        <v>42</v>
      </c>
      <c r="C278" s="8">
        <v>2</v>
      </c>
    </row>
    <row r="279" spans="1:3" ht="20.25">
      <c r="A279" s="3" t="s">
        <v>213</v>
      </c>
      <c r="B279" s="18"/>
      <c r="C279" s="5">
        <f>SUM(C280:C282)</f>
        <v>10</v>
      </c>
    </row>
    <row r="280" spans="1:3" ht="18.75">
      <c r="A280" s="6">
        <v>1</v>
      </c>
      <c r="B280" s="7" t="s">
        <v>214</v>
      </c>
      <c r="C280" s="8">
        <v>1</v>
      </c>
    </row>
    <row r="281" spans="1:3" ht="18.75">
      <c r="A281" s="6">
        <v>2</v>
      </c>
      <c r="B281" s="7" t="s">
        <v>215</v>
      </c>
      <c r="C281" s="8">
        <v>4</v>
      </c>
    </row>
    <row r="282" spans="1:3" ht="18.75">
      <c r="A282" s="6">
        <v>3</v>
      </c>
      <c r="B282" s="7" t="s">
        <v>216</v>
      </c>
      <c r="C282" s="8">
        <v>5</v>
      </c>
    </row>
    <row r="283" spans="1:3" ht="20.25">
      <c r="A283" s="3" t="s">
        <v>217</v>
      </c>
      <c r="B283" s="18"/>
      <c r="C283" s="5">
        <f>SUM(C284:C286)</f>
        <v>24</v>
      </c>
    </row>
    <row r="284" spans="1:3" ht="18.75">
      <c r="A284" s="6">
        <v>1</v>
      </c>
      <c r="B284" s="7" t="s">
        <v>218</v>
      </c>
      <c r="C284" s="8">
        <v>2</v>
      </c>
    </row>
    <row r="285" spans="1:3" ht="18.75">
      <c r="A285" s="9">
        <f>A284+1</f>
        <v>2</v>
      </c>
      <c r="B285" s="7" t="s">
        <v>194</v>
      </c>
      <c r="C285" s="8">
        <v>18</v>
      </c>
    </row>
    <row r="286" spans="1:3" ht="18.75">
      <c r="A286" s="6">
        <f t="shared" si="18"/>
        <v>3</v>
      </c>
      <c r="B286" s="7" t="s">
        <v>42</v>
      </c>
      <c r="C286" s="8">
        <v>4</v>
      </c>
    </row>
    <row r="287" spans="1:3" ht="20.25">
      <c r="A287" s="19" t="s">
        <v>219</v>
      </c>
      <c r="B287" s="20"/>
      <c r="C287" s="5">
        <f>SUM(C288:C294)</f>
        <v>133</v>
      </c>
    </row>
    <row r="288" spans="1:3" ht="18.75">
      <c r="A288" s="6">
        <v>1</v>
      </c>
      <c r="B288" s="7" t="s">
        <v>91</v>
      </c>
      <c r="C288" s="8">
        <v>1</v>
      </c>
    </row>
    <row r="289" spans="1:3" ht="18.75">
      <c r="A289" s="6">
        <f>A288+1</f>
        <v>2</v>
      </c>
      <c r="B289" s="7" t="s">
        <v>220</v>
      </c>
      <c r="C289" s="8">
        <v>1</v>
      </c>
    </row>
    <row r="290" spans="1:3" ht="18.75">
      <c r="A290" s="6">
        <f t="shared" ref="A290:A294" si="19">A289+1</f>
        <v>3</v>
      </c>
      <c r="B290" s="7" t="s">
        <v>221</v>
      </c>
      <c r="C290" s="8">
        <v>1</v>
      </c>
    </row>
    <row r="291" spans="1:3" ht="18.75">
      <c r="A291" s="6">
        <f t="shared" si="19"/>
        <v>4</v>
      </c>
      <c r="B291" s="7" t="s">
        <v>190</v>
      </c>
      <c r="C291" s="8">
        <v>3</v>
      </c>
    </row>
    <row r="292" spans="1:3" ht="18.75">
      <c r="A292" s="6">
        <f t="shared" si="19"/>
        <v>5</v>
      </c>
      <c r="B292" s="7" t="s">
        <v>192</v>
      </c>
      <c r="C292" s="8">
        <v>9</v>
      </c>
    </row>
    <row r="293" spans="1:3" ht="18.75">
      <c r="A293" s="6">
        <f t="shared" si="19"/>
        <v>6</v>
      </c>
      <c r="B293" s="7" t="s">
        <v>222</v>
      </c>
      <c r="C293" s="8">
        <v>118</v>
      </c>
    </row>
    <row r="294" spans="1:3" ht="18.75">
      <c r="A294" s="6">
        <f t="shared" si="19"/>
        <v>7</v>
      </c>
      <c r="B294" s="7" t="s">
        <v>194</v>
      </c>
      <c r="C294" s="8">
        <v>0</v>
      </c>
    </row>
    <row r="295" spans="1:3" ht="20.25">
      <c r="A295" s="3" t="s">
        <v>223</v>
      </c>
      <c r="B295" s="18"/>
      <c r="C295" s="5">
        <f>SUM(C296:C297)</f>
        <v>7</v>
      </c>
    </row>
    <row r="296" spans="1:3" ht="18.75">
      <c r="A296" s="6">
        <v>1</v>
      </c>
      <c r="B296" s="7" t="s">
        <v>224</v>
      </c>
      <c r="C296" s="8">
        <v>1</v>
      </c>
    </row>
    <row r="297" spans="1:3" ht="18.75">
      <c r="A297" s="6">
        <v>2</v>
      </c>
      <c r="B297" s="7" t="s">
        <v>225</v>
      </c>
      <c r="C297" s="8">
        <v>6</v>
      </c>
    </row>
    <row r="298" spans="1:3" ht="20.25">
      <c r="A298" s="21" t="s">
        <v>226</v>
      </c>
      <c r="B298" s="21"/>
      <c r="C298" s="5">
        <f>SUM(C299:C302)</f>
        <v>23</v>
      </c>
    </row>
    <row r="299" spans="1:3" ht="18.75">
      <c r="A299" s="6">
        <v>1</v>
      </c>
      <c r="B299" s="7" t="s">
        <v>227</v>
      </c>
      <c r="C299" s="8">
        <v>1</v>
      </c>
    </row>
    <row r="300" spans="1:3" ht="18.75">
      <c r="A300" s="6">
        <f>1+A299</f>
        <v>2</v>
      </c>
      <c r="B300" s="7" t="s">
        <v>228</v>
      </c>
      <c r="C300" s="8">
        <v>1</v>
      </c>
    </row>
    <row r="301" spans="1:3" ht="18.75">
      <c r="A301" s="6">
        <f t="shared" ref="A301:A302" si="20">1+A300</f>
        <v>3</v>
      </c>
      <c r="B301" s="7" t="s">
        <v>116</v>
      </c>
      <c r="C301" s="8">
        <v>3</v>
      </c>
    </row>
    <row r="302" spans="1:3" ht="18.75">
      <c r="A302" s="6">
        <f t="shared" si="20"/>
        <v>4</v>
      </c>
      <c r="B302" s="7" t="s">
        <v>195</v>
      </c>
      <c r="C302" s="8">
        <v>18</v>
      </c>
    </row>
    <row r="303" spans="1:3" ht="20.25">
      <c r="A303" s="21" t="s">
        <v>229</v>
      </c>
      <c r="B303" s="21"/>
      <c r="C303" s="5">
        <f>SUM(C304:C307)</f>
        <v>17</v>
      </c>
    </row>
    <row r="304" spans="1:3" ht="18.75">
      <c r="A304" s="9">
        <v>1</v>
      </c>
      <c r="B304" s="7" t="s">
        <v>230</v>
      </c>
      <c r="C304" s="8">
        <v>1</v>
      </c>
    </row>
    <row r="305" spans="1:3" ht="18.75">
      <c r="A305" s="6">
        <f>A304+1</f>
        <v>2</v>
      </c>
      <c r="B305" s="7" t="s">
        <v>116</v>
      </c>
      <c r="C305" s="8">
        <v>1</v>
      </c>
    </row>
    <row r="306" spans="1:3" ht="18.75">
      <c r="A306" s="6">
        <f>A305+1</f>
        <v>3</v>
      </c>
      <c r="B306" s="7" t="s">
        <v>231</v>
      </c>
      <c r="C306" s="8">
        <v>6</v>
      </c>
    </row>
    <row r="307" spans="1:3" ht="18.75">
      <c r="A307" s="6">
        <f>A306+1</f>
        <v>4</v>
      </c>
      <c r="B307" s="7" t="s">
        <v>232</v>
      </c>
      <c r="C307" s="8">
        <v>9</v>
      </c>
    </row>
    <row r="308" spans="1:3" ht="20.25">
      <c r="A308" s="3" t="s">
        <v>233</v>
      </c>
      <c r="B308" s="4"/>
      <c r="C308" s="5">
        <f>SUM(C309:C314)</f>
        <v>6</v>
      </c>
    </row>
    <row r="309" spans="1:3" ht="18.75">
      <c r="A309" s="6">
        <v>1</v>
      </c>
      <c r="B309" s="7" t="s">
        <v>234</v>
      </c>
      <c r="C309" s="8">
        <v>1</v>
      </c>
    </row>
    <row r="310" spans="1:3" ht="18.75">
      <c r="A310" s="6">
        <f>A309+1</f>
        <v>2</v>
      </c>
      <c r="B310" s="7" t="s">
        <v>235</v>
      </c>
      <c r="C310" s="8">
        <v>1</v>
      </c>
    </row>
    <row r="311" spans="1:3" ht="18.75">
      <c r="A311" s="6">
        <f t="shared" ref="A311:A314" si="21">A310+1</f>
        <v>3</v>
      </c>
      <c r="B311" s="7" t="s">
        <v>130</v>
      </c>
      <c r="C311" s="8">
        <v>1</v>
      </c>
    </row>
    <row r="312" spans="1:3" ht="18.75">
      <c r="A312" s="6">
        <f t="shared" si="21"/>
        <v>4</v>
      </c>
      <c r="B312" s="7" t="s">
        <v>236</v>
      </c>
      <c r="C312" s="8">
        <v>1</v>
      </c>
    </row>
    <row r="313" spans="1:3" ht="18.75">
      <c r="A313" s="6">
        <f t="shared" si="21"/>
        <v>5</v>
      </c>
      <c r="B313" s="7" t="s">
        <v>237</v>
      </c>
      <c r="C313" s="8">
        <v>1</v>
      </c>
    </row>
    <row r="314" spans="1:3" ht="18.75">
      <c r="A314" s="6">
        <f t="shared" si="21"/>
        <v>6</v>
      </c>
      <c r="B314" s="7" t="s">
        <v>238</v>
      </c>
      <c r="C314" s="8">
        <v>1</v>
      </c>
    </row>
    <row r="315" spans="1:3" ht="20.25">
      <c r="A315" s="3" t="s">
        <v>239</v>
      </c>
      <c r="B315" s="4"/>
      <c r="C315" s="5">
        <f>SUM(C316:C321)</f>
        <v>12</v>
      </c>
    </row>
    <row r="316" spans="1:3" ht="18.75">
      <c r="A316" s="6">
        <v>1</v>
      </c>
      <c r="B316" s="7" t="s">
        <v>18</v>
      </c>
      <c r="C316" s="8">
        <v>1</v>
      </c>
    </row>
    <row r="317" spans="1:3" ht="18.75">
      <c r="A317" s="6">
        <f t="shared" ref="A317" si="22">A316+1</f>
        <v>2</v>
      </c>
      <c r="B317" s="7" t="s">
        <v>240</v>
      </c>
      <c r="C317" s="8">
        <v>1</v>
      </c>
    </row>
    <row r="318" spans="1:3" ht="18.75">
      <c r="A318" s="6">
        <f>A316+1</f>
        <v>2</v>
      </c>
      <c r="B318" s="7" t="s">
        <v>71</v>
      </c>
      <c r="C318" s="8">
        <v>3</v>
      </c>
    </row>
    <row r="319" spans="1:3" ht="18.75">
      <c r="A319" s="6">
        <f t="shared" ref="A319:A321" si="23">A318+1</f>
        <v>3</v>
      </c>
      <c r="B319" s="10" t="s">
        <v>241</v>
      </c>
      <c r="C319" s="8">
        <v>3</v>
      </c>
    </row>
    <row r="320" spans="1:3" ht="18.75">
      <c r="A320" s="6">
        <f t="shared" si="23"/>
        <v>4</v>
      </c>
      <c r="B320" s="7" t="s">
        <v>242</v>
      </c>
      <c r="C320" s="8">
        <v>1</v>
      </c>
    </row>
    <row r="321" spans="1:3" ht="18.75">
      <c r="A321" s="6">
        <f t="shared" si="23"/>
        <v>5</v>
      </c>
      <c r="B321" s="7" t="s">
        <v>75</v>
      </c>
      <c r="C321" s="8">
        <v>3</v>
      </c>
    </row>
    <row r="322" spans="1:3" ht="20.25">
      <c r="A322" s="12" t="s">
        <v>243</v>
      </c>
      <c r="B322" s="13"/>
      <c r="C322" s="5">
        <f>C323+C324</f>
        <v>7</v>
      </c>
    </row>
    <row r="323" spans="1:3" ht="18.75">
      <c r="A323" s="9">
        <v>1</v>
      </c>
      <c r="B323" s="7" t="s">
        <v>244</v>
      </c>
      <c r="C323" s="8">
        <v>1</v>
      </c>
    </row>
    <row r="324" spans="1:3" ht="18.75">
      <c r="A324" s="9">
        <f>A323+1</f>
        <v>2</v>
      </c>
      <c r="B324" s="7" t="s">
        <v>245</v>
      </c>
      <c r="C324" s="8">
        <v>6</v>
      </c>
    </row>
    <row r="325" spans="1:3" ht="20.25">
      <c r="A325" s="3" t="s">
        <v>246</v>
      </c>
      <c r="B325" s="4"/>
      <c r="C325" s="5">
        <f>SUM(C326:C329)</f>
        <v>10</v>
      </c>
    </row>
    <row r="326" spans="1:3" ht="18.75">
      <c r="A326" s="6">
        <v>1</v>
      </c>
      <c r="B326" s="7" t="s">
        <v>41</v>
      </c>
      <c r="C326" s="8">
        <v>1</v>
      </c>
    </row>
    <row r="327" spans="1:3" ht="18.75">
      <c r="A327" s="6">
        <f>1+A326</f>
        <v>2</v>
      </c>
      <c r="B327" s="7" t="s">
        <v>103</v>
      </c>
      <c r="C327" s="8">
        <v>3</v>
      </c>
    </row>
    <row r="328" spans="1:3" ht="18.75">
      <c r="A328" s="6">
        <f>1+A327</f>
        <v>3</v>
      </c>
      <c r="B328" s="7" t="s">
        <v>138</v>
      </c>
      <c r="C328" s="8">
        <v>3</v>
      </c>
    </row>
    <row r="329" spans="1:3" ht="18.75">
      <c r="A329" s="6">
        <f>1+A328</f>
        <v>4</v>
      </c>
      <c r="B329" s="7" t="s">
        <v>139</v>
      </c>
      <c r="C329" s="8">
        <v>3</v>
      </c>
    </row>
    <row r="330" spans="1:3" ht="20.25">
      <c r="A330" s="12" t="s">
        <v>247</v>
      </c>
      <c r="B330" s="18"/>
      <c r="C330" s="5">
        <f>C331</f>
        <v>3</v>
      </c>
    </row>
    <row r="331" spans="1:3" ht="18.75">
      <c r="A331" s="6">
        <v>1</v>
      </c>
      <c r="B331" s="10" t="s">
        <v>248</v>
      </c>
      <c r="C331" s="8">
        <v>3</v>
      </c>
    </row>
    <row r="332" spans="1:3" ht="20.25">
      <c r="A332" s="3" t="s">
        <v>249</v>
      </c>
      <c r="B332" s="4"/>
      <c r="C332" s="5">
        <f>SUM(C333:C337)</f>
        <v>25</v>
      </c>
    </row>
    <row r="333" spans="1:3" ht="18.75">
      <c r="A333" s="6">
        <v>1</v>
      </c>
      <c r="B333" s="15" t="s">
        <v>250</v>
      </c>
      <c r="C333" s="8">
        <v>1</v>
      </c>
    </row>
    <row r="334" spans="1:3" ht="18.75">
      <c r="A334" s="6">
        <f>A333+1</f>
        <v>2</v>
      </c>
      <c r="B334" s="16" t="s">
        <v>116</v>
      </c>
      <c r="C334" s="8">
        <v>3</v>
      </c>
    </row>
    <row r="335" spans="1:3" ht="18.75">
      <c r="A335" s="6">
        <f>A334+1</f>
        <v>3</v>
      </c>
      <c r="B335" s="22" t="s">
        <v>251</v>
      </c>
      <c r="C335" s="8">
        <v>6</v>
      </c>
    </row>
    <row r="336" spans="1:3" ht="18.75">
      <c r="A336" s="6">
        <f>A335+1</f>
        <v>4</v>
      </c>
      <c r="B336" s="22" t="s">
        <v>252</v>
      </c>
      <c r="C336" s="8">
        <v>9</v>
      </c>
    </row>
    <row r="337" spans="1:3" ht="18.75">
      <c r="A337" s="6">
        <f>A336+1</f>
        <v>5</v>
      </c>
      <c r="B337" s="22" t="s">
        <v>253</v>
      </c>
      <c r="C337" s="8">
        <v>6</v>
      </c>
    </row>
    <row r="338" spans="1:3" ht="20.25">
      <c r="A338" s="3" t="s">
        <v>254</v>
      </c>
      <c r="B338" s="4"/>
      <c r="C338" s="5">
        <f>SUM(C339:C343)</f>
        <v>52</v>
      </c>
    </row>
    <row r="339" spans="1:3" ht="18.75">
      <c r="A339" s="6">
        <v>1</v>
      </c>
      <c r="B339" s="10" t="s">
        <v>250</v>
      </c>
      <c r="C339" s="8">
        <v>1</v>
      </c>
    </row>
    <row r="340" spans="1:3" ht="18.75">
      <c r="A340" s="6">
        <f>A339+1</f>
        <v>2</v>
      </c>
      <c r="B340" s="10" t="s">
        <v>116</v>
      </c>
      <c r="C340" s="8">
        <v>2</v>
      </c>
    </row>
    <row r="341" spans="1:3" ht="18.75">
      <c r="A341" s="6">
        <f>A340+1</f>
        <v>3</v>
      </c>
      <c r="B341" s="7" t="s">
        <v>197</v>
      </c>
      <c r="C341" s="8">
        <v>8</v>
      </c>
    </row>
    <row r="342" spans="1:3" ht="18.75">
      <c r="A342" s="6">
        <f>A341+1</f>
        <v>4</v>
      </c>
      <c r="B342" s="7" t="s">
        <v>194</v>
      </c>
      <c r="C342" s="8">
        <v>35</v>
      </c>
    </row>
    <row r="343" spans="1:3" ht="18.75">
      <c r="A343" s="6">
        <f>A342+1</f>
        <v>5</v>
      </c>
      <c r="B343" s="7" t="s">
        <v>255</v>
      </c>
      <c r="C343" s="8">
        <v>6</v>
      </c>
    </row>
    <row r="344" spans="1:3" ht="20.25">
      <c r="A344" s="3" t="s">
        <v>256</v>
      </c>
      <c r="B344" s="4"/>
      <c r="C344" s="5">
        <f>SUM(C345:C349)</f>
        <v>19</v>
      </c>
    </row>
    <row r="345" spans="1:3" ht="18.75">
      <c r="A345" s="6">
        <v>1</v>
      </c>
      <c r="B345" s="10" t="s">
        <v>250</v>
      </c>
      <c r="C345" s="8">
        <v>1</v>
      </c>
    </row>
    <row r="346" spans="1:3" ht="18.75">
      <c r="A346" s="6">
        <f>A345+1</f>
        <v>2</v>
      </c>
      <c r="B346" s="10" t="s">
        <v>116</v>
      </c>
      <c r="C346" s="8">
        <v>1</v>
      </c>
    </row>
    <row r="347" spans="1:3" ht="18.75">
      <c r="A347" s="6">
        <f>A346+1</f>
        <v>3</v>
      </c>
      <c r="B347" s="7" t="s">
        <v>197</v>
      </c>
      <c r="C347" s="8">
        <v>4</v>
      </c>
    </row>
    <row r="348" spans="1:3" ht="18.75">
      <c r="A348" s="6">
        <f>A347+1</f>
        <v>4</v>
      </c>
      <c r="B348" s="7" t="s">
        <v>194</v>
      </c>
      <c r="C348" s="8">
        <v>7</v>
      </c>
    </row>
    <row r="349" spans="1:3" ht="18.75">
      <c r="A349" s="6">
        <f>A348+1</f>
        <v>5</v>
      </c>
      <c r="B349" s="7" t="s">
        <v>206</v>
      </c>
      <c r="C349" s="8">
        <v>6</v>
      </c>
    </row>
    <row r="350" spans="1:3" ht="20.25">
      <c r="A350" s="3" t="s">
        <v>257</v>
      </c>
      <c r="B350" s="4"/>
      <c r="C350" s="5">
        <f>SUM(C351:C355)</f>
        <v>106</v>
      </c>
    </row>
    <row r="351" spans="1:3" ht="18.75">
      <c r="A351" s="6">
        <v>1</v>
      </c>
      <c r="B351" s="7" t="s">
        <v>258</v>
      </c>
      <c r="C351" s="8">
        <v>1</v>
      </c>
    </row>
    <row r="352" spans="1:3" ht="18.75">
      <c r="A352" s="6">
        <f>A351+1</f>
        <v>2</v>
      </c>
      <c r="B352" s="7" t="s">
        <v>116</v>
      </c>
      <c r="C352" s="8">
        <v>3</v>
      </c>
    </row>
    <row r="353" spans="1:3" ht="18.75">
      <c r="A353" s="6">
        <f>A352+1</f>
        <v>3</v>
      </c>
      <c r="B353" s="7" t="s">
        <v>259</v>
      </c>
      <c r="C353" s="8">
        <v>3</v>
      </c>
    </row>
    <row r="354" spans="1:3" ht="18.75">
      <c r="A354" s="6">
        <f>A353+1</f>
        <v>4</v>
      </c>
      <c r="B354" s="7" t="s">
        <v>260</v>
      </c>
      <c r="C354" s="8">
        <v>93</v>
      </c>
    </row>
    <row r="355" spans="1:3" ht="18.75">
      <c r="A355" s="6">
        <f>A354+1</f>
        <v>5</v>
      </c>
      <c r="B355" s="7" t="s">
        <v>261</v>
      </c>
      <c r="C355" s="8">
        <v>6</v>
      </c>
    </row>
    <row r="356" spans="1:3" ht="20.25">
      <c r="A356" s="3" t="s">
        <v>262</v>
      </c>
      <c r="B356" s="4"/>
      <c r="C356" s="23"/>
    </row>
    <row r="357" spans="1:3" ht="18.75">
      <c r="A357" s="6">
        <v>1</v>
      </c>
      <c r="B357" s="7" t="s">
        <v>263</v>
      </c>
      <c r="C357" s="8">
        <v>8</v>
      </c>
    </row>
    <row r="358" spans="1:3" ht="18.75">
      <c r="A358" s="6">
        <f>A357+1</f>
        <v>2</v>
      </c>
      <c r="B358" s="7" t="s">
        <v>264</v>
      </c>
      <c r="C358" s="8">
        <v>4</v>
      </c>
    </row>
    <row r="359" spans="1:3" ht="18.75">
      <c r="A359" s="3" t="s">
        <v>265</v>
      </c>
      <c r="B359" s="14"/>
      <c r="C359" s="24">
        <f>C5+C2+C7+C10+C12+C16+C25+C33+C41+C46+C55+C66+C84+C88+C93+C96+C99+C103+C106+C115+C117+C121+C126+C135+C141+C145+C149+C152+C164+C168+C173+C176+C179+C191+C194+C200+C202+C212+C221+C225+C230+C238+C243+C249+C254+C258+C263+C268+C272+C287+C298+C303+C308+C315+C322+C325+C332+C338+C344+C350+C356+C330+C295+C283+C279+C275+C62</f>
        <v>1375</v>
      </c>
    </row>
  </sheetData>
  <mergeCells count="3">
    <mergeCell ref="A287:B287"/>
    <mergeCell ref="A298:B298"/>
    <mergeCell ref="A303:B3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2026-08-24T10:30:03Z</dcterms:modified>
</cp:coreProperties>
</file>